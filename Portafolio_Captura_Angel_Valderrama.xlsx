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fd4bddba7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67557e72454434"/>
    <x:sheet xmlns:r="http://schemas.openxmlformats.org/officeDocument/2006/relationships" name="Captura" sheetId="2" r:id="Rbeacf076e1814261"/>
    <x:sheet xmlns:r="http://schemas.openxmlformats.org/officeDocument/2006/relationships" name="Catalogos" sheetId="3" r:id="Rf663526db84d4ce7"/>
    <x:sheet xmlns:r="http://schemas.openxmlformats.org/officeDocument/2006/relationships" name="Guia" sheetId="4" r:id="Rabe367bd269b4e73"/>
  </x:sheets>
</x:workbook>
</file>

<file path=xl/comments1.xml><?xml version="1.0" encoding="utf-8"?>
<x:comments xmlns:x="http://schemas.openxmlformats.org/spreadsheetml/2006/main">
  <x:authors>
    <x:author>tc={56A8B04C-DAF4-4436-98C7-A37102A53856}</x:author>
    <x:author>tc={340C4F81-116E-4DD9-AFF9-5C73480C6C14}</x:author>
  </x:authors>
  <x:commentList>
    <x:comment ref="J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Control automático por COUNTIF: detecta folios repetidos en el lote.</x:t>
        </x:r>
      </x:text>
    </x:comment>
    <x:comment ref="O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Resultado compuesto: calidad documental, integridad, unicidad y SLA.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&quot;$&quot;#,##0.00"/>
    <x:numFmt numFmtId="202" formatCode="0%"/>
    <x:numFmt numFmtId="203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667085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22"/>
      <x:color rgb="FF17324D"/>
      <x:name val="Carlito"/>
    </x:font>
    <x:font>
      <x:b/>
      <x:sz val="17"/>
      <x:color rgb="FFFFFFFF"/>
      <x:name val="Carlito"/>
    </x:font>
    <x:font>
      <x:sz val="11"/>
      <x:color rgb="FF17324D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6E8C"/>
      </x:patternFill>
    </x:fill>
    <x:fill>
      <x:patternFill patternType="solid">
        <x:fgColor rgb="FFF2F4F7"/>
      </x:patternFill>
    </x:fill>
    <x:fill>
      <x:patternFill patternType="solid">
        <x:fgColor rgb="FFEAF2F5"/>
      </x:patternFill>
    </x:fill>
    <x:fill>
      <x:patternFill patternType="solid">
        <x:fgColor rgb="FFFFF2CC"/>
      </x:patternFill>
    </x:fill>
  </x:fills>
  <x:borders count="35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DE3E8"/>
      </x:right>
      <x:bottom style="thin">
        <x:color rgb="FFDDE3E8"/>
      </x:bottom>
    </x:border>
    <x:border>
      <x:left style="thin">
        <x:color rgb="FFDDE3E8"/>
      </x:left>
      <x:right style="thin">
        <x:color rgb="FFDDE3E8"/>
      </x:right>
      <x:bottom style="thin">
        <x:color rgb="FFDDE3E8"/>
      </x:bottom>
    </x:border>
    <x:border>
      <x:left style="thin">
        <x:color rgb="FFDDE3E8"/>
      </x:left>
      <x:bottom style="thin">
        <x:color rgb="FFDDE3E8"/>
      </x:bottom>
    </x:border>
    <x:border>
      <x:right style="thin">
        <x:color rgb="FFDDE3E8"/>
      </x:right>
      <x:top style="thin">
        <x:color rgb="FFDDE3E8"/>
      </x:top>
      <x:bottom style="thin">
        <x:color rgb="FFDDE3E8"/>
      </x:bottom>
    </x:border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  <x:border>
      <x:left style="thin">
        <x:color rgb="FFDDE3E8"/>
      </x:left>
      <x:top style="thin">
        <x:color rgb="FFDDE3E8"/>
      </x:top>
      <x:bottom style="thin">
        <x:color rgb="FFDDE3E8"/>
      </x:bottom>
    </x:border>
    <x:border>
      <x:right style="thin">
        <x:color rgb="FFDDE3E8"/>
      </x:right>
      <x:top style="thin">
        <x:color rgb="FFDDE3E8"/>
      </x:top>
    </x:border>
    <x:border>
      <x:left style="thin">
        <x:color rgb="FFDDE3E8"/>
      </x:left>
      <x:right style="thin">
        <x:color rgb="FFDDE3E8"/>
      </x:right>
      <x:top style="thin">
        <x:color rgb="FFDDE3E8"/>
      </x:top>
    </x:border>
    <x:border>
      <x:left style="thin">
        <x:color rgb="FFDDE3E8"/>
      </x:left>
      <x:top style="thin">
        <x:color rgb="FFDDE3E8"/>
      </x:top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</x:border>
    <x:border>
      <x:right style="thin">
        <x:color rgb="FFBF9000"/>
      </x:right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/>
    <x:xf numFmtId="200" fontId="5" fillId="0" borderId="14" xfId="0" applyNumberFormat="1" applyFont="1" applyFill="1" applyBorder="1"/>
    <x:xf numFmtId="0" fontId="5" fillId="0" borderId="14" xfId="0" applyNumberFormat="1" applyFont="1" applyFill="1" applyBorder="1"/>
    <x:xf numFmtId="201" fontId="5" fillId="0" borderId="14" xfId="0" applyNumberFormat="1" applyFont="1" applyFill="1" applyBorder="1"/>
    <x:xf numFmtId="202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200" fontId="5" fillId="0" borderId="17" xfId="0" applyNumberFormat="1" applyFont="1" applyFill="1" applyBorder="1"/>
    <x:xf numFmtId="0" fontId="5" fillId="0" borderId="17" xfId="0" applyNumberFormat="1" applyFont="1" applyFill="1" applyBorder="1"/>
    <x:xf numFmtId="201" fontId="5" fillId="0" borderId="17" xfId="0" applyNumberFormat="1" applyFont="1" applyFill="1" applyBorder="1"/>
    <x:xf numFmtId="202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24" xfId="0" applyNumberFormat="1" applyFont="1" applyFill="1" applyBorder="1"/>
    <x:xf numFmtId="0" fontId="8" fillId="0" borderId="19" xfId="0" applyNumberFormat="1" applyFont="1" applyFill="1" applyBorder="1" applyAlignment="1">
      <x:alignment horizontal="center"/>
    </x:xf>
    <x:xf numFmtId="0" fontId="8" fillId="0" borderId="20" xfId="0" applyNumberFormat="1" applyFont="1" applyFill="1" applyBorder="1" applyAlignment="1">
      <x:alignment horizontal="center"/>
    </x:xf>
    <x:xf numFmtId="0" fontId="8" fillId="0" borderId="21" xfId="0" applyNumberFormat="1" applyFont="1" applyFill="1" applyBorder="1" applyAlignment="1">
      <x:alignment horizontal="center"/>
    </x:xf>
    <x:xf numFmtId="0" fontId="8" fillId="0" borderId="22" xfId="0" applyNumberFormat="1" applyFont="1" applyFill="1" applyBorder="1" applyAlignment="1">
      <x:alignment horizontal="center"/>
    </x:xf>
    <x:xf numFmtId="0" fontId="8" fillId="0" borderId="23" xfId="0" applyNumberFormat="1" applyFont="1" applyFill="1" applyBorder="1" applyAlignment="1">
      <x:alignment horizontal="center"/>
    </x:xf>
    <x:xf numFmtId="0" fontId="8" fillId="0" borderId="24" xfId="0" applyNumberFormat="1" applyFont="1" applyFill="1" applyBorder="1" applyAlignment="1">
      <x:alignment horizontal="center"/>
    </x:xf>
    <x:xf numFmtId="0" fontId="8" fillId="0" borderId="19" xfId="0" applyNumberFormat="1" applyFont="1" applyFill="1" applyBorder="1" applyAlignment="1">
      <x:alignment horizontal="center" vertical="center"/>
    </x:xf>
    <x:xf numFmtId="0" fontId="8" fillId="0" borderId="20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8" fillId="0" borderId="22" xfId="0" applyNumberFormat="1" applyFont="1" applyFill="1" applyBorder="1" applyAlignment="1">
      <x:alignment horizontal="center" vertical="center"/>
    </x:xf>
    <x:xf numFmtId="0" fontId="8" fillId="0" borderId="23" xfId="0" applyNumberFormat="1" applyFont="1" applyFill="1" applyBorder="1" applyAlignment="1">
      <x:alignment horizontal="center" vertical="center"/>
    </x:xf>
    <x:xf numFmtId="0" fontId="8" fillId="0" borderId="24" xfId="0" applyNumberFormat="1" applyFont="1" applyFill="1" applyBorder="1" applyAlignment="1">
      <x:alignment horizontal="center" vertical="center"/>
    </x:xf>
    <x:xf numFmtId="203" fontId="8" fillId="0" borderId="20" xfId="0" applyNumberFormat="1" applyFont="1" applyFill="1" applyBorder="1" applyAlignment="1">
      <x:alignment horizontal="center" vertical="center"/>
    </x:xf>
    <x:xf numFmtId="203" fontId="8" fillId="0" borderId="23" xfId="0" applyNumberFormat="1" applyFont="1" applyFill="1" applyBorder="1" applyAlignment="1">
      <x:alignment horizontal="center" vertical="center"/>
    </x:xf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vertical="center" wrapText="1"/>
    </x:xf>
    <x:xf numFmtId="0" fontId="7" fillId="5" borderId="20" xfId="0" applyNumberFormat="1" applyFont="1" applyFill="1" applyBorder="1" applyAlignment="1">
      <x:alignment vertical="center" wrapText="1"/>
    </x:xf>
    <x:xf numFmtId="0" fontId="7" fillId="5" borderId="21" xfId="0" applyNumberFormat="1" applyFont="1" applyFill="1" applyBorder="1" applyAlignment="1">
      <x:alignment vertical="center" wrapText="1"/>
    </x:xf>
    <x:xf numFmtId="0" fontId="7" fillId="5" borderId="2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26" xfId="0" applyNumberFormat="1" applyFont="1" applyFill="1" applyBorder="1" applyAlignment="1">
      <x:alignment vertical="center" wrapText="1"/>
    </x:xf>
    <x:xf numFmtId="0" fontId="7" fillId="5" borderId="22" xfId="0" applyNumberFormat="1" applyFont="1" applyFill="1" applyBorder="1" applyAlignment="1">
      <x:alignment vertical="center" wrapText="1"/>
    </x:xf>
    <x:xf numFmtId="0" fontId="7" fillId="5" borderId="23" xfId="0" applyNumberFormat="1" applyFont="1" applyFill="1" applyBorder="1" applyAlignment="1">
      <x:alignment vertical="center" wrapText="1"/>
    </x:xf>
    <x:xf numFmtId="0" fontId="7" fillId="5" borderId="24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27" xfId="0" applyNumberFormat="1" applyFont="1" applyFill="1" applyBorder="1"/>
    <x:xf numFmtId="0" fontId="11" fillId="6" borderId="28" xfId="0" applyNumberFormat="1" applyFont="1" applyFill="1" applyBorder="1"/>
    <x:xf numFmtId="0" fontId="11" fillId="6" borderId="29" xfId="0" applyNumberFormat="1" applyFont="1" applyFill="1" applyBorder="1"/>
    <x:xf numFmtId="0" fontId="11" fillId="6" borderId="30" xfId="0" applyNumberFormat="1" applyFont="1" applyFill="1" applyBorder="1"/>
    <x:xf numFmtId="0" fontId="11" fillId="6" borderId="31" xfId="0" applyNumberFormat="1" applyFont="1" applyFill="1" applyBorder="1"/>
    <x:xf numFmtId="0" fontId="11" fillId="6" borderId="32" xfId="0" applyNumberFormat="1" applyFont="1" applyFill="1" applyBorder="1"/>
    <x:xf numFmtId="0" fontId="11" fillId="6" borderId="33" xfId="0" applyNumberFormat="1" applyFont="1" applyFill="1" applyBorder="1"/>
    <x:xf numFmtId="0" fontId="11" fillId="6" borderId="34" xfId="0" applyNumberFormat="1" applyFont="1" applyFill="1" applyBorder="1"/>
    <x:xf numFmtId="0" fontId="11" fillId="6" borderId="27" xfId="0" applyNumberFormat="1" applyFont="1" applyFill="1" applyBorder="1" applyAlignment="1">
      <x:alignment wrapText="1"/>
    </x:xf>
    <x:xf numFmtId="0" fontId="11" fillId="6" borderId="28" xfId="0" applyNumberFormat="1" applyFont="1" applyFill="1" applyBorder="1" applyAlignment="1">
      <x:alignment wrapText="1"/>
    </x:xf>
    <x:xf numFmtId="0" fontId="11" fillId="6" borderId="29" xfId="0" applyNumberFormat="1" applyFont="1" applyFill="1" applyBorder="1" applyAlignment="1">
      <x:alignment wrapText="1"/>
    </x:xf>
    <x:xf numFmtId="0" fontId="11" fillId="6" borderId="3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31" xfId="0" applyNumberFormat="1" applyFont="1" applyFill="1" applyBorder="1" applyAlignment="1">
      <x:alignment wrapText="1"/>
    </x:xf>
    <x:xf numFmtId="0" fontId="11" fillId="6" borderId="32" xfId="0" applyNumberFormat="1" applyFont="1" applyFill="1" applyBorder="1" applyAlignment="1">
      <x:alignment wrapText="1"/>
    </x:xf>
    <x:xf numFmtId="0" fontId="11" fillId="6" borderId="33" xfId="0" applyNumberFormat="1" applyFont="1" applyFill="1" applyBorder="1" applyAlignment="1">
      <x:alignment wrapText="1"/>
    </x:xf>
    <x:xf numFmtId="0" fontId="11" fillId="6" borderId="34" xfId="0" applyNumberFormat="1" applyFont="1" applyFill="1" applyBorder="1" applyAlignment="1">
      <x:alignment wrapText="1"/>
    </x:xf>
    <x:xf numFmtId="0" fontId="11" fillId="6" borderId="27" xfId="0" applyNumberFormat="1" applyFont="1" applyFill="1" applyBorder="1" applyAlignment="1">
      <x:alignment vertical="center" wrapText="1"/>
    </x:xf>
    <x:xf numFmtId="0" fontId="11" fillId="6" borderId="28" xfId="0" applyNumberFormat="1" applyFont="1" applyFill="1" applyBorder="1" applyAlignment="1">
      <x:alignment vertical="center" wrapText="1"/>
    </x:xf>
    <x:xf numFmtId="0" fontId="11" fillId="6" borderId="29" xfId="0" applyNumberFormat="1" applyFont="1" applyFill="1" applyBorder="1" applyAlignment="1">
      <x:alignment vertical="center" wrapText="1"/>
    </x:xf>
    <x:xf numFmtId="0" fontId="11" fillId="6" borderId="3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31" xfId="0" applyNumberFormat="1" applyFont="1" applyFill="1" applyBorder="1" applyAlignment="1">
      <x:alignment vertical="center" wrapText="1"/>
    </x:xf>
    <x:xf numFmtId="0" fontId="11" fillId="6" borderId="32" xfId="0" applyNumberFormat="1" applyFont="1" applyFill="1" applyBorder="1" applyAlignment="1">
      <x:alignment vertical="center" wrapText="1"/>
    </x:xf>
    <x:xf numFmtId="0" fontId="11" fillId="6" borderId="33" xfId="0" applyNumberFormat="1" applyFont="1" applyFill="1" applyBorder="1" applyAlignment="1">
      <x:alignment vertical="center" wrapText="1"/>
    </x:xf>
    <x:xf numFmtId="0" fontId="11" fillId="6" borderId="3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b6b61a78f4738" /><Relationship Type="http://schemas.openxmlformats.org/officeDocument/2006/relationships/theme" Target="/xl/theme/theme1.xml" Id="R5e233cca46bb4528" /><Relationship Type="http://schemas.openxmlformats.org/officeDocument/2006/relationships/sharedStrings" Target="/xl/sharedStrings.xml" Id="R37cdb38c7cf44b1a" /><Relationship Type="http://schemas.openxmlformats.org/officeDocument/2006/relationships/worksheet" Target="/xl/worksheets/sheet1.xml" Id="R2b67557e72454434" /><Relationship Type="http://schemas.openxmlformats.org/officeDocument/2006/relationships/worksheet" Target="/xl/worksheets/sheet2.xml" Id="Rbeacf076e1814261" /><Relationship Type="http://schemas.openxmlformats.org/officeDocument/2006/relationships/worksheet" Target="/xl/worksheets/sheet3.xml" Id="Rf663526db84d4ce7" /><Relationship Type="http://schemas.openxmlformats.org/officeDocument/2006/relationships/worksheet" Target="/xl/worksheets/sheet4.xml" Id="Rabe367bd269b4e73" /><Relationship Type="http://schemas.microsoft.com/office/2017/10/relationships/person" Target="/xl/persons/person.xml" Id="R482c9527a1884d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5393091385428d" /><Relationship Type="http://schemas.openxmlformats.org/officeDocument/2006/relationships/chart" Target="/xl/drawings/charts/chart2.xml" Id="R3b197120cfef45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Resultado de controles</a:t>
            </a:r>
          </a:p>
        </c:rich>
      </c:tx>
      <c:overlay val="0"/>
    </c:title>
    <c:plotArea>
      <c:doughnutChart>
        <c:ser>
          <c:idx val="0"/>
          <c:order val="0"/>
          <c:tx>
            <c:v>Cantidad</c:v>
          </c:tx>
          <c:cat>
            <c:strRef>
              <c:f>'Dashboard'!$A$10:$A$11</c:f>
              <c:strCache>
                <c:ptCount val="0"/>
              </c:strCache>
            </c:strRef>
          </c:cat>
          <c:val>
            <c:numRef>
              <c:f>'Dashboard'!$B$10:$B$11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Volumen por tipo de trámite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'Dashboard'!$D$10:$D$14</c:f>
              <c:strCache>
                <c:ptCount val="0"/>
              </c:strCache>
            </c:strRef>
          </c:cat>
          <c:val>
            <c:numRef>
              <c:f>'Dashboard'!$E$10:$E$14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5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5393091385428d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197120cfef450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Ángel Gabriel Valderrama Ramírez" id="{A7F15F29-FE73-4875-8151-2002319B88AE}"/>
</xltc:personList>
</file>

<file path=xl/tables/table1.xml><?xml version="1.0" encoding="utf-8"?>
<x:table xmlns:x="http://schemas.openxmlformats.org/spreadsheetml/2006/main" id="1" name="TablaCaptura" displayName="TablaCaptura" ref="A4:O52" headerRowCount="1" totalsRowCount="0" totalsRowShown="0">
  <x:tableColumns count="15">
    <x:tableColumn id="1" name="Folio"/>
    <x:tableColumn id="2" name="Fecha/hora"/>
    <x:tableColumn id="3" name="Cliente ficticio"/>
    <x:tableColumn id="4" name="Cuenta enmascarada"/>
    <x:tableColumn id="5" name="Trámite"/>
    <x:tableColumn id="6" name="Documento"/>
    <x:tableColumn id="7" name="Importe"/>
    <x:tableColumn id="8" name="Estatus documento"/>
    <x:tableColumn id="9" name="Minutos"/>
    <x:tableColumn id="10" name="Duplicado"/>
    <x:tableColumn id="11" name="Integridad"/>
    <x:tableColumn id="12" name="SLA objetivo"/>
    <x:tableColumn id="13" name="Cumple SLA"/>
    <x:tableColumn id="14" name="Calidad"/>
    <x:tableColumn id="15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4" dT="2026-09-04T01:45:14.928" personId="{A7F15F29-FE73-4875-8151-2002319B88AE}" id="{56A8B04C-DAF4-4436-98C7-A37102A53856}">
    <xltc:text>Control automático por COUNTIF: detecta folios repetidos en el lote.</xltc:text>
  </xltc:threadedComment>
  <xltc:threadedComment ref="O4" dT="2026-09-04T01:45:14.929" personId="{A7F15F29-FE73-4875-8151-2002319B88AE}" id="{340C4F81-116E-4DD9-AFF9-5C73480C6C14}">
    <xltc:text>Resultado compuesto: calidad documental, integridad, unicidad y SLA.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8c65b84f624e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5fb2f8d7d42403c" /><Relationship Type="http://schemas.openxmlformats.org/officeDocument/2006/relationships/vmlDrawing" Target="/xl/drawings/vmldrawing.vml" Id="R63f8f2f64b19404c" /><Relationship Type="http://schemas.microsoft.com/office/2017/10/relationships/threadedComment" Target="/xl/threadedcomments/threadedcomment.xml" Id="Rbf71cc273d884b50" /><Relationship Type="http://schemas.openxmlformats.org/officeDocument/2006/relationships/table" Target="/xl/tables/table1.xml" Id="Rcdf21e1b6e4048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8" customHeight="1">
      <x:c r="A1" s="58" t="str">
        <x:v>TABLERO DE CALIDAD DE CAPTURA</x:v>
      </x:c>
      <x:c r="B1" s="58"/>
      <x:c r="C1" s="58"/>
      <x:c r="D1" s="58"/>
      <x:c r="E1" s="58"/>
      <x:c r="F1" s="58"/>
      <x:c r="G1" s="58"/>
      <x:c r="H1" s="58"/>
      <x:c r="I1" s="58"/>
      <x:c r="J1" s="58"/>
    </x:row>
    <x:row r="2" ht="24" customHeight="1">
      <x:c r="A2" s="60" t="str">
        <x:v>Portafolio de Ángel Gabriel Valderrama Ramírez | Caso simulado de back office bancario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4">
      <x:c r="A4" s="61" t="str">
        <x:v>TRÁMITES</x:v>
      </x:c>
      <x:c r="B4" s="61"/>
      <x:c r="D4" s="61" t="str">
        <x:v>CALIDAD</x:v>
      </x:c>
      <x:c r="E4" s="61"/>
      <x:c r="G4" s="61" t="str">
        <x:v>CUMPLIMIENTO SLA</x:v>
      </x:c>
      <x:c r="H4" s="61"/>
      <x:c r="I4" s="61" t="str">
        <x:v>POR REVISAR</x:v>
      </x:c>
      <x:c r="J4" s="61"/>
    </x:row>
    <x:row r="5">
      <x:c r="A5" s="75" t="n">
        <x:f>COUNTA('Captura'!$A$5:$A$52)</x:f>
        <x:v>48</x:v>
      </x:c>
      <x:c r="B5" s="76"/>
      <x:c r="C5" s="76"/>
      <x:c r="D5" s="81" t="n">
        <x:f>AVERAGE('Captura'!$N$5:$N$52)</x:f>
        <x:v>0.9166666666666666</x:v>
      </x:c>
      <x:c r="E5" s="81"/>
      <x:c r="F5" s="76"/>
      <x:c r="G5" s="81" t="n">
        <x:f>COUNTIF('Captura'!$M$5:$M$52,"SÍ")/COUNTA('Captura'!$A$5:$A$52)</x:f>
        <x:v>0.9583333333333334</x:v>
      </x:c>
      <x:c r="H5" s="81"/>
      <x:c r="I5" s="76" t="n">
        <x:f>COUNTIF('Captura'!$O$5:$O$52,"REVISAR")</x:f>
        <x:v>6</x:v>
      </x:c>
      <x:c r="J5" s="77"/>
    </x:row>
    <x:row r="6">
      <x:c r="A6" s="78"/>
      <x:c r="B6" s="79"/>
      <x:c r="C6" s="79"/>
      <x:c r="D6" s="82"/>
      <x:c r="E6" s="82"/>
      <x:c r="F6" s="79"/>
      <x:c r="G6" s="82"/>
      <x:c r="H6" s="82"/>
      <x:c r="I6" s="79"/>
      <x:c r="J6" s="80"/>
    </x:row>
    <x:row r="9">
      <x:c r="A9" s="5" t="str">
        <x:v>Resultado</x:v>
      </x:c>
      <x:c r="B9" s="5" t="str">
        <x:v>Cantidad</x:v>
      </x:c>
      <x:c r="D9" s="5" t="str">
        <x:v>Trámite</x:v>
      </x:c>
      <x:c r="E9" s="5" t="str">
        <x:v>Cantidad</x:v>
      </x:c>
    </x:row>
    <x:row r="10">
      <x:c r="A10" t="str">
        <x:v>APROBADO</x:v>
      </x:c>
      <x:c r="B10" t="n">
        <x:f>COUNTIF('Captura'!$O$5:$O$52,A10)</x:f>
        <x:v>42</x:v>
      </x:c>
      <x:c r="D10" t="str">
        <x:v>Alta de cliente</x:v>
      </x:c>
      <x:c r="E10" t="n">
        <x:f>COUNTIF('Captura'!$E$5:$E$52,D10)</x:f>
        <x:v>10</x:v>
      </x:c>
    </x:row>
    <x:row r="11">
      <x:c r="A11" t="str">
        <x:v>REVISAR</x:v>
      </x:c>
      <x:c r="B11" t="n">
        <x:f>COUNTIF('Captura'!$O$5:$O$52,A11)</x:f>
        <x:v>6</x:v>
      </x:c>
      <x:c r="D11" t="str">
        <x:v>Actualización de datos</x:v>
      </x:c>
      <x:c r="E11" t="n">
        <x:f>COUNTIF('Captura'!$E$5:$E$52,D11)</x:f>
        <x:v>10</x:v>
      </x:c>
    </x:row>
    <x:row r="12">
      <x:c r="A12" t="str"/>
      <x:c r="B12" t="str"/>
      <x:c r="D12" t="str">
        <x:v>Aclaración</x:v>
      </x:c>
      <x:c r="E12" t="n">
        <x:f>COUNTIF('Captura'!$E$5:$E$52,D12)</x:f>
        <x:v>10</x:v>
      </x:c>
    </x:row>
    <x:row r="13">
      <x:c r="A13" t="str">
        <x:v>Meta calidad</x:v>
      </x:c>
      <x:c r="B13" s="26" t="n">
        <x:v>0.91</x:v>
      </x:c>
      <x:c r="D13" t="str">
        <x:v>Transferencia</x:v>
      </x:c>
      <x:c r="E13" t="n">
        <x:f>COUNTIF('Captura'!$E$5:$E$52,D13)</x:f>
        <x:v>9</x:v>
      </x:c>
    </x:row>
    <x:row r="14">
      <x:c r="A14" t="str">
        <x:v>Meta SLA</x:v>
      </x:c>
      <x:c r="B14" s="26" t="n">
        <x:v>0.95</x:v>
      </x:c>
      <x:c r="D14" t="str">
        <x:v>Bloqueo preventivo</x:v>
      </x:c>
      <x:c r="E14" t="n">
        <x:f>COUNTIF('Captura'!$E$5:$E$52,D14)</x:f>
        <x:v>9</x:v>
      </x:c>
    </x:row>
    <x:row r="33">
      <x:c r="A33" s="100" t="str">
        <x:v>Lectura: el tablero se alimenta únicamente de fórmulas conectadas a la hoja Captura. Edite un registro, agregue un duplicado o cambie un estatus para comprobar la actualización automática.</x:v>
      </x:c>
      <x:c r="B33" s="101"/>
      <x:c r="C33" s="101"/>
      <x:c r="D33" s="101"/>
      <x:c r="E33" s="101"/>
      <x:c r="F33" s="101"/>
      <x:c r="G33" s="101"/>
      <x:c r="H33" s="101"/>
      <x:c r="I33" s="101"/>
      <x:c r="J33" s="102"/>
    </x:row>
    <x:row r="34">
      <x:c r="A34" s="103"/>
      <x:c r="B34" s="104"/>
      <x:c r="C34" s="104"/>
      <x:c r="D34" s="104"/>
      <x:c r="E34" s="104"/>
      <x:c r="F34" s="104"/>
      <x:c r="G34" s="104"/>
      <x:c r="H34" s="104"/>
      <x:c r="I34" s="104"/>
      <x:c r="J34" s="105"/>
    </x:row>
    <x:row r="35">
      <x:c r="A35" s="106"/>
      <x:c r="B35" s="107"/>
      <x:c r="C35" s="107"/>
      <x:c r="D35" s="107"/>
      <x:c r="E35" s="107"/>
      <x:c r="F35" s="107"/>
      <x:c r="G35" s="107"/>
      <x:c r="H35" s="107"/>
      <x:c r="I35" s="107"/>
      <x:c r="J35" s="108"/>
    </x:row>
  </x:sheetData>
  <x:mergeCells>
    <x:mergeCell ref="A1:J1"/>
    <x:mergeCell ref="A2:J2"/>
    <x:mergeCell ref="A4:B4"/>
    <x:mergeCell ref="D4:E4"/>
    <x:mergeCell ref="G4:H4"/>
    <x:mergeCell ref="I4:J4"/>
    <x:mergeCell ref="A5:B6"/>
    <x:mergeCell ref="D5:E6"/>
    <x:mergeCell ref="G5:H6"/>
    <x:mergeCell ref="I5:J6"/>
    <x:mergeCell ref="A33:J35"/>
  </x:mergeCells>
  <x:pageMargins left="0.7" right="0.7" top="0.75" bottom="0.75" header="0.3" footer="0.3"/>
  <x:drawing xmlns:r="http://schemas.openxmlformats.org/officeDocument/2006/relationships" r:id="Rbd8c65b84f624e2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17" hidden="0" customWidth="1"/>
    <x:col min="5" max="5" width="22" hidden="0" customWidth="1"/>
    <x:col min="6" max="6" width="22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3" t="str">
        <x:v>CONTROL DE CAPTURA - OPERACIÓN BANCARIA SIMULADA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21" t="str">
        <x:v>Datos 100% ficticios. Proyecto demostrativo de habilidades; no representa empleo ni operación bancaria real.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</x:row>
    <x:row r="4" ht="34" customHeight="1">
      <x:c r="A4" s="42" t="str">
        <x:v>Folio</x:v>
      </x:c>
      <x:c r="B4" s="43" t="str">
        <x:v>Fecha/hora</x:v>
      </x:c>
      <x:c r="C4" s="43" t="str">
        <x:v>Cliente ficticio</x:v>
      </x:c>
      <x:c r="D4" s="43" t="str">
        <x:v>Cuenta enmascarada</x:v>
      </x:c>
      <x:c r="E4" s="43" t="str">
        <x:v>Trámite</x:v>
      </x:c>
      <x:c r="F4" s="43" t="str">
        <x:v>Documento</x:v>
      </x:c>
      <x:c r="G4" s="43" t="str">
        <x:v>Importe</x:v>
      </x:c>
      <x:c r="H4" s="43" t="str">
        <x:v>Estatus documento</x:v>
      </x:c>
      <x:c r="I4" s="43" t="str">
        <x:v>Minutos</x:v>
      </x:c>
      <x:c r="J4" s="43" t="str">
        <x:v>Duplicado</x:v>
      </x:c>
      <x:c r="K4" s="43" t="str">
        <x:v>Integridad</x:v>
      </x:c>
      <x:c r="L4" s="43" t="str">
        <x:v>SLA objetivo</x:v>
      </x:c>
      <x:c r="M4" s="43" t="str">
        <x:v>Cumple SLA</x:v>
      </x:c>
      <x:c r="N4" s="43" t="str">
        <x:v>Calidad</x:v>
      </x:c>
      <x:c r="O4" s="44" t="str">
        <x:v>Resultado</x:v>
      </x:c>
    </x:row>
    <x:row r="5">
      <x:c r="A5" s="45" t="str">
        <x:v>TRM-2026-0001</x:v>
      </x:c>
      <x:c r="B5" s="46" t="n">
        <x:v>46252</x:v>
      </x:c>
      <x:c r="C5" s="47" t="str">
        <x:v>Cliente Alfa</x:v>
      </x:c>
      <x:c r="D5" s="47" t="str">
        <x:v>****2100</x:v>
      </x:c>
      <x:c r="E5" s="47" t="str">
        <x:v>Alta de cliente</x:v>
      </x:c>
      <x:c r="F5" s="47" t="str">
        <x:v>INE</x:v>
      </x:c>
      <x:c r="G5" s="48" t="n">
        <x:v>500</x:v>
      </x:c>
      <x:c r="H5" s="47" t="str">
        <x:v>Completo</x:v>
      </x:c>
      <x:c r="I5" s="47" t="n">
        <x:v>12</x:v>
      </x:c>
      <x:c r="J5" s="47" t="str">
        <x:f>IF(COUNTIF($A$5:$A$52,A5)&gt;1,"REVISAR","ÚNICO")</x:f>
        <x:v>ÚNICO</x:v>
      </x:c>
      <x:c r="K5" s="47" t="str">
        <x:f>IF(AND(A5&lt;&gt;"",B5&lt;&gt;"",C5&lt;&gt;"",D5&lt;&gt;"",E5&lt;&gt;"",F5&lt;&gt;"",H5&lt;&gt;""),"COMPLETO","INCOMPLETO")</x:f>
        <x:v>COMPLETO</x:v>
      </x:c>
      <x:c r="L5" s="47" t="n">
        <x:f>IF(E5="Alta de cliente",'Catalogos'!$B$4,IF(E5="Actualización de datos",'Catalogos'!$B$5,IF(E5="Aclaración",'Catalogos'!$B$6,IF(E5="Transferencia",'Catalogos'!$B$7,'Catalogos'!$B$8))))</x:f>
        <x:v>12</x:v>
      </x:c>
      <x:c r="M5" s="47" t="str">
        <x:f>IF(I5&lt;=L5,"SÍ","NO")</x:f>
        <x:v>SÍ</x:v>
      </x:c>
      <x:c r="N5" s="49" t="n">
        <x:f>IF(AND(H5="Completo",J5="ÚNICO",K5="COMPLETO"),1,0)</x:f>
        <x:v>1</x:v>
      </x:c>
      <x:c r="O5" s="50" t="str">
        <x:f>IF(AND(N5=1,M5="SÍ"),"APROBADO","REVISAR")</x:f>
        <x:v>APROBADO</x:v>
      </x:c>
    </x:row>
    <x:row r="6">
      <x:c r="A6" s="45" t="str">
        <x:v>TRM-2026-0002</x:v>
      </x:c>
      <x:c r="B6" s="46" t="n">
        <x:v>46252.00486111111</x:v>
      </x:c>
      <x:c r="C6" s="47" t="str">
        <x:v>Cliente Bravo</x:v>
      </x:c>
      <x:c r="D6" s="47" t="str">
        <x:v>****2137</x:v>
      </x:c>
      <x:c r="E6" s="47" t="str">
        <x:v>Actualización de datos</x:v>
      </x:c>
      <x:c r="F6" s="47" t="str">
        <x:v>Pasaporte</x:v>
      </x:c>
      <x:c r="G6" s="48" t="n">
        <x:v>673</x:v>
      </x:c>
      <x:c r="H6" s="47" t="str">
        <x:v>Completo</x:v>
      </x:c>
      <x:c r="I6" s="47" t="n">
        <x:v>7</x:v>
      </x:c>
      <x:c r="J6" s="47" t="str">
        <x:f>IF(COUNTIF($A$5:$A$52,A6)&gt;1,"REVISAR","ÚNICO")</x:f>
        <x:v>ÚNICO</x:v>
      </x:c>
      <x:c r="K6" s="47" t="str">
        <x:f>IF(AND(A6&lt;&gt;"",B6&lt;&gt;"",C6&lt;&gt;"",D6&lt;&gt;"",E6&lt;&gt;"",F6&lt;&gt;"",H6&lt;&gt;""),"COMPLETO","INCOMPLETO")</x:f>
        <x:v>COMPLETO</x:v>
      </x:c>
      <x:c r="L6" s="47" t="n">
        <x:f>IF(E6="Alta de cliente",'Catalogos'!$B$4,IF(E6="Actualización de datos",'Catalogos'!$B$5,IF(E6="Aclaración",'Catalogos'!$B$6,IF(E6="Transferencia",'Catalogos'!$B$7,'Catalogos'!$B$8))))</x:f>
        <x:v>8</x:v>
      </x:c>
      <x:c r="M6" s="47" t="str">
        <x:f>IF(I6&lt;=L6,"SÍ","NO")</x:f>
        <x:v>SÍ</x:v>
      </x:c>
      <x:c r="N6" s="49" t="n">
        <x:f>IF(AND(H6="Completo",J6="ÚNICO",K6="COMPLETO"),1,0)</x:f>
        <x:v>1</x:v>
      </x:c>
      <x:c r="O6" s="50" t="str">
        <x:f>IF(AND(N6=1,M6="SÍ"),"APROBADO","REVISAR")</x:f>
        <x:v>APROBADO</x:v>
      </x:c>
    </x:row>
    <x:row r="7">
      <x:c r="A7" s="45" t="str">
        <x:v>TRM-2026-0003</x:v>
      </x:c>
      <x:c r="B7" s="46" t="n">
        <x:v>46252.009722222225</x:v>
      </x:c>
      <x:c r="C7" s="47" t="str">
        <x:v>Cliente Cobre</x:v>
      </x:c>
      <x:c r="D7" s="47" t="str">
        <x:v>****2174</x:v>
      </x:c>
      <x:c r="E7" s="47" t="str">
        <x:v>Aclaración</x:v>
      </x:c>
      <x:c r="F7" s="47" t="str">
        <x:v>Comprobante domicilio</x:v>
      </x:c>
      <x:c r="G7" s="48" t="n">
        <x:v>846</x:v>
      </x:c>
      <x:c r="H7" s="47" t="str">
        <x:v>Completo</x:v>
      </x:c>
      <x:c r="I7" s="47" t="n">
        <x:v>13</x:v>
      </x:c>
      <x:c r="J7" s="47" t="str">
        <x:f>IF(COUNTIF($A$5:$A$52,A7)&gt;1,"REVISAR","ÚNICO")</x:f>
        <x:v>ÚNICO</x:v>
      </x:c>
      <x:c r="K7" s="47" t="str">
        <x:f>IF(AND(A7&lt;&gt;"",B7&lt;&gt;"",C7&lt;&gt;"",D7&lt;&gt;"",E7&lt;&gt;"",F7&lt;&gt;"",H7&lt;&gt;""),"COMPLETO","INCOMPLETO")</x:f>
        <x:v>COMPLETO</x:v>
      </x:c>
      <x:c r="L7" s="47" t="n">
        <x:f>IF(E7="Alta de cliente",'Catalogos'!$B$4,IF(E7="Actualización de datos",'Catalogos'!$B$5,IF(E7="Aclaración",'Catalogos'!$B$6,IF(E7="Transferencia",'Catalogos'!$B$7,'Catalogos'!$B$8))))</x:f>
        <x:v>15</x:v>
      </x:c>
      <x:c r="M7" s="47" t="str">
        <x:f>IF(I7&lt;=L7,"SÍ","NO")</x:f>
        <x:v>SÍ</x:v>
      </x:c>
      <x:c r="N7" s="49" t="n">
        <x:f>IF(AND(H7="Completo",J7="ÚNICO",K7="COMPLETO"),1,0)</x:f>
        <x:v>1</x:v>
      </x:c>
      <x:c r="O7" s="50" t="str">
        <x:f>IF(AND(N7=1,M7="SÍ"),"APROBADO","REVISAR")</x:f>
        <x:v>APROBADO</x:v>
      </x:c>
    </x:row>
    <x:row r="8">
      <x:c r="A8" s="45" t="str">
        <x:v>TRM-2026-0004</x:v>
      </x:c>
      <x:c r="B8" s="46" t="n">
        <x:v>46252.01458333333</x:v>
      </x:c>
      <x:c r="C8" s="47" t="str">
        <x:v>Cliente Delta</x:v>
      </x:c>
      <x:c r="D8" s="47" t="str">
        <x:v>****2211</x:v>
      </x:c>
      <x:c r="E8" s="47" t="str">
        <x:v>Transferencia</x:v>
      </x:c>
      <x:c r="F8" s="47" t="str">
        <x:v>Formato interno</x:v>
      </x:c>
      <x:c r="G8" s="48" t="n">
        <x:v>1019</x:v>
      </x:c>
      <x:c r="H8" s="47" t="str">
        <x:v>Completo</x:v>
      </x:c>
      <x:c r="I8" s="47" t="n">
        <x:v>6</x:v>
      </x:c>
      <x:c r="J8" s="47" t="str">
        <x:f>IF(COUNTIF($A$5:$A$52,A8)&gt;1,"REVISAR","ÚNICO")</x:f>
        <x:v>ÚNICO</x:v>
      </x:c>
      <x:c r="K8" s="47" t="str">
        <x:f>IF(AND(A8&lt;&gt;"",B8&lt;&gt;"",C8&lt;&gt;"",D8&lt;&gt;"",E8&lt;&gt;"",F8&lt;&gt;"",H8&lt;&gt;""),"COMPLETO","INCOMPLETO")</x:f>
        <x:v>COMPLETO</x:v>
      </x:c>
      <x:c r="L8" s="47" t="n">
        <x:f>IF(E8="Alta de cliente",'Catalogos'!$B$4,IF(E8="Actualización de datos",'Catalogos'!$B$5,IF(E8="Aclaración",'Catalogos'!$B$6,IF(E8="Transferencia",'Catalogos'!$B$7,'Catalogos'!$B$8))))</x:f>
        <x:v>6</x:v>
      </x:c>
      <x:c r="M8" s="47" t="str">
        <x:f>IF(I8&lt;=L8,"SÍ","NO")</x:f>
        <x:v>SÍ</x:v>
      </x:c>
      <x:c r="N8" s="49" t="n">
        <x:f>IF(AND(H8="Completo",J8="ÚNICO",K8="COMPLETO"),1,0)</x:f>
        <x:v>1</x:v>
      </x:c>
      <x:c r="O8" s="50" t="str">
        <x:f>IF(AND(N8=1,M8="SÍ"),"APROBADO","REVISAR")</x:f>
        <x:v>APROBADO</x:v>
      </x:c>
    </x:row>
    <x:row r="9">
      <x:c r="A9" s="45" t="str">
        <x:v>TRM-2026-0005</x:v>
      </x:c>
      <x:c r="B9" s="46" t="n">
        <x:v>46252.01944444444</x:v>
      </x:c>
      <x:c r="C9" s="47" t="str">
        <x:v>Cliente Ébano</x:v>
      </x:c>
      <x:c r="D9" s="47" t="str">
        <x:v>****2248</x:v>
      </x:c>
      <x:c r="E9" s="47" t="str">
        <x:v>Bloqueo preventivo</x:v>
      </x:c>
      <x:c r="F9" s="47" t="str">
        <x:v>INE</x:v>
      </x:c>
      <x:c r="G9" s="48" t="n">
        <x:v>1192</x:v>
      </x:c>
      <x:c r="H9" s="47" t="str">
        <x:v>Completo</x:v>
      </x:c>
      <x:c r="I9" s="47" t="n">
        <x:v>4</x:v>
      </x:c>
      <x:c r="J9" s="47" t="str">
        <x:f>IF(COUNTIF($A$5:$A$52,A9)&gt;1,"REVISAR","ÚNICO")</x:f>
        <x:v>ÚNICO</x:v>
      </x:c>
      <x:c r="K9" s="47" t="str">
        <x:f>IF(AND(A9&lt;&gt;"",B9&lt;&gt;"",C9&lt;&gt;"",D9&lt;&gt;"",E9&lt;&gt;"",F9&lt;&gt;"",H9&lt;&gt;""),"COMPLETO","INCOMPLETO")</x:f>
        <x:v>COMPLETO</x:v>
      </x:c>
      <x:c r="L9" s="47" t="n">
        <x:f>IF(E9="Alta de cliente",'Catalogos'!$B$4,IF(E9="Actualización de datos",'Catalogos'!$B$5,IF(E9="Aclaración",'Catalogos'!$B$6,IF(E9="Transferencia",'Catalogos'!$B$7,'Catalogos'!$B$8))))</x:f>
        <x:v>5</x:v>
      </x:c>
      <x:c r="M9" s="47" t="str">
        <x:f>IF(I9&lt;=L9,"SÍ","NO")</x:f>
        <x:v>SÍ</x:v>
      </x:c>
      <x:c r="N9" s="49" t="n">
        <x:f>IF(AND(H9="Completo",J9="ÚNICO",K9="COMPLETO"),1,0)</x:f>
        <x:v>1</x:v>
      </x:c>
      <x:c r="O9" s="50" t="str">
        <x:f>IF(AND(N9=1,M9="SÍ"),"APROBADO","REVISAR")</x:f>
        <x:v>APROBADO</x:v>
      </x:c>
    </x:row>
    <x:row r="10">
      <x:c r="A10" s="45" t="str">
        <x:v>TRM-2026-0006</x:v>
      </x:c>
      <x:c r="B10" s="46" t="n">
        <x:v>46252.024305555555</x:v>
      </x:c>
      <x:c r="C10" s="47" t="str">
        <x:v>Cliente Faro</x:v>
      </x:c>
      <x:c r="D10" s="47" t="str">
        <x:v>****2285</x:v>
      </x:c>
      <x:c r="E10" s="47" t="str">
        <x:v>Alta de cliente</x:v>
      </x:c>
      <x:c r="F10" s="47" t="str">
        <x:v>Pasaporte</x:v>
      </x:c>
      <x:c r="G10" s="48" t="n">
        <x:v>1365</x:v>
      </x:c>
      <x:c r="H10" s="47" t="str">
        <x:v>Completo</x:v>
      </x:c>
      <x:c r="I10" s="47" t="n">
        <x:v>10</x:v>
      </x:c>
      <x:c r="J10" s="47" t="str">
        <x:f>IF(COUNTIF($A$5:$A$52,A10)&gt;1,"REVISAR","ÚNICO")</x:f>
        <x:v>ÚNICO</x:v>
      </x:c>
      <x:c r="K10" s="47" t="str">
        <x:f>IF(AND(A10&lt;&gt;"",B10&lt;&gt;"",C10&lt;&gt;"",D10&lt;&gt;"",E10&lt;&gt;"",F10&lt;&gt;"",H10&lt;&gt;""),"COMPLETO","INCOMPLETO")</x:f>
        <x:v>COMPLETO</x:v>
      </x:c>
      <x:c r="L10" s="47" t="n">
        <x:f>IF(E10="Alta de cliente",'Catalogos'!$B$4,IF(E10="Actualización de datos",'Catalogos'!$B$5,IF(E10="Aclaración",'Catalogos'!$B$6,IF(E10="Transferencia",'Catalogos'!$B$7,'Catalogos'!$B$8))))</x:f>
        <x:v>12</x:v>
      </x:c>
      <x:c r="M10" s="47" t="str">
        <x:f>IF(I10&lt;=L10,"SÍ","NO")</x:f>
        <x:v>SÍ</x:v>
      </x:c>
      <x:c r="N10" s="49" t="n">
        <x:f>IF(AND(H10="Completo",J10="ÚNICO",K10="COMPLETO"),1,0)</x:f>
        <x:v>1</x:v>
      </x:c>
      <x:c r="O10" s="50" t="str">
        <x:f>IF(AND(N10=1,M10="SÍ"),"APROBADO","REVISAR")</x:f>
        <x:v>APROBADO</x:v>
      </x:c>
    </x:row>
    <x:row r="11">
      <x:c r="A11" s="45" t="str">
        <x:v>TRM-2026-0007</x:v>
      </x:c>
      <x:c r="B11" s="46" t="n">
        <x:v>46252.02916666667</x:v>
      </x:c>
      <x:c r="C11" s="47" t="str">
        <x:v>Cliente Gema</x:v>
      </x:c>
      <x:c r="D11" s="47" t="str">
        <x:v>****2322</x:v>
      </x:c>
      <x:c r="E11" s="47" t="str">
        <x:v>Actualización de datos</x:v>
      </x:c>
      <x:c r="F11" s="47" t="str">
        <x:v>Comprobante domicilio</x:v>
      </x:c>
      <x:c r="G11" s="48" t="n">
        <x:v>1538</x:v>
      </x:c>
      <x:c r="H11" s="47" t="str">
        <x:v>Completo</x:v>
      </x:c>
      <x:c r="I11" s="47" t="n">
        <x:v>8</x:v>
      </x:c>
      <x:c r="J11" s="47" t="str">
        <x:f>IF(COUNTIF($A$5:$A$52,A11)&gt;1,"REVISAR","ÚNICO")</x:f>
        <x:v>ÚNICO</x:v>
      </x:c>
      <x:c r="K11" s="47" t="str">
        <x:f>IF(AND(A11&lt;&gt;"",B11&lt;&gt;"",C11&lt;&gt;"",D11&lt;&gt;"",E11&lt;&gt;"",F11&lt;&gt;"",H11&lt;&gt;""),"COMPLETO","INCOMPLETO")</x:f>
        <x:v>COMPLETO</x:v>
      </x:c>
      <x:c r="L11" s="47" t="n">
        <x:f>IF(E11="Alta de cliente",'Catalogos'!$B$4,IF(E11="Actualización de datos",'Catalogos'!$B$5,IF(E11="Aclaración",'Catalogos'!$B$6,IF(E11="Transferencia",'Catalogos'!$B$7,'Catalogos'!$B$8))))</x:f>
        <x:v>8</x:v>
      </x:c>
      <x:c r="M11" s="47" t="str">
        <x:f>IF(I11&lt;=L11,"SÍ","NO")</x:f>
        <x:v>SÍ</x:v>
      </x:c>
      <x:c r="N11" s="49" t="n">
        <x:f>IF(AND(H11="Completo",J11="ÚNICO",K11="COMPLETO"),1,0)</x:f>
        <x:v>1</x:v>
      </x:c>
      <x:c r="O11" s="50" t="str">
        <x:f>IF(AND(N11=1,M11="SÍ"),"APROBADO","REVISAR")</x:f>
        <x:v>APROBADO</x:v>
      </x:c>
    </x:row>
    <x:row r="12">
      <x:c r="A12" s="45" t="str">
        <x:v>TRM-2026-0008</x:v>
      </x:c>
      <x:c r="B12" s="46" t="n">
        <x:v>46252.03402777778</x:v>
      </x:c>
      <x:c r="C12" s="47" t="str">
        <x:v>Cliente Horizonte</x:v>
      </x:c>
      <x:c r="D12" s="47" t="str">
        <x:v>****2359</x:v>
      </x:c>
      <x:c r="E12" s="47" t="str">
        <x:v>Aclaración</x:v>
      </x:c>
      <x:c r="F12" s="47" t="str">
        <x:v>Formato interno</x:v>
      </x:c>
      <x:c r="G12" s="48" t="n">
        <x:v>1711</x:v>
      </x:c>
      <x:c r="H12" s="47" t="str">
        <x:v>Incompleto</x:v>
      </x:c>
      <x:c r="I12" s="47" t="n">
        <x:v>14</x:v>
      </x:c>
      <x:c r="J12" s="47" t="str">
        <x:f>IF(COUNTIF($A$5:$A$52,A12)&gt;1,"REVISAR","ÚNICO")</x:f>
        <x:v>ÚNICO</x:v>
      </x:c>
      <x:c r="K12" s="47" t="str">
        <x:f>IF(AND(A12&lt;&gt;"",B12&lt;&gt;"",C12&lt;&gt;"",D12&lt;&gt;"",E12&lt;&gt;"",F12&lt;&gt;"",H12&lt;&gt;""),"COMPLETO","INCOMPLETO")</x:f>
        <x:v>COMPLETO</x:v>
      </x:c>
      <x:c r="L12" s="47" t="n">
        <x:f>IF(E12="Alta de cliente",'Catalogos'!$B$4,IF(E12="Actualización de datos",'Catalogos'!$B$5,IF(E12="Aclaración",'Catalogos'!$B$6,IF(E12="Transferencia",'Catalogos'!$B$7,'Catalogos'!$B$8))))</x:f>
        <x:v>15</x:v>
      </x:c>
      <x:c r="M12" s="47" t="str">
        <x:f>IF(I12&lt;=L12,"SÍ","NO")</x:f>
        <x:v>SÍ</x:v>
      </x:c>
      <x:c r="N12" s="49" t="n">
        <x:f>IF(AND(H12="Completo",J12="ÚNICO",K12="COMPLETO"),1,0)</x:f>
        <x:v>0</x:v>
      </x:c>
      <x:c r="O12" s="50" t="str">
        <x:f>IF(AND(N12=1,M12="SÍ"),"APROBADO","REVISAR")</x:f>
        <x:v>REVISAR</x:v>
      </x:c>
    </x:row>
    <x:row r="13">
      <x:c r="A13" s="45" t="str">
        <x:v>TRM-2026-0009</x:v>
      </x:c>
      <x:c r="B13" s="46" t="n">
        <x:v>46252.03888888889</x:v>
      </x:c>
      <x:c r="C13" s="47" t="str">
        <x:v>Cliente Alfa</x:v>
      </x:c>
      <x:c r="D13" s="47" t="str">
        <x:v>****2396</x:v>
      </x:c>
      <x:c r="E13" s="47" t="str">
        <x:v>Transferencia</x:v>
      </x:c>
      <x:c r="F13" s="47" t="str">
        <x:v>INE</x:v>
      </x:c>
      <x:c r="G13" s="48" t="n">
        <x:v>1884</x:v>
      </x:c>
      <x:c r="H13" s="47" t="str">
        <x:v>Completo</x:v>
      </x:c>
      <x:c r="I13" s="47" t="n">
        <x:v>4</x:v>
      </x:c>
      <x:c r="J13" s="47" t="str">
        <x:f>IF(COUNTIF($A$5:$A$52,A13)&gt;1,"REVISAR","ÚNICO")</x:f>
        <x:v>ÚNICO</x:v>
      </x:c>
      <x:c r="K13" s="47" t="str">
        <x:f>IF(AND(A13&lt;&gt;"",B13&lt;&gt;"",C13&lt;&gt;"",D13&lt;&gt;"",E13&lt;&gt;"",F13&lt;&gt;"",H13&lt;&gt;""),"COMPLETO","INCOMPLETO")</x:f>
        <x:v>COMPLETO</x:v>
      </x:c>
      <x:c r="L13" s="47" t="n">
        <x:f>IF(E13="Alta de cliente",'Catalogos'!$B$4,IF(E13="Actualización de datos",'Catalogos'!$B$5,IF(E13="Aclaración",'Catalogos'!$B$6,IF(E13="Transferencia",'Catalogos'!$B$7,'Catalogos'!$B$8))))</x:f>
        <x:v>6</x:v>
      </x:c>
      <x:c r="M13" s="47" t="str">
        <x:f>IF(I13&lt;=L13,"SÍ","NO")</x:f>
        <x:v>SÍ</x:v>
      </x:c>
      <x:c r="N13" s="49" t="n">
        <x:f>IF(AND(H13="Completo",J13="ÚNICO",K13="COMPLETO"),1,0)</x:f>
        <x:v>1</x:v>
      </x:c>
      <x:c r="O13" s="50" t="str">
        <x:f>IF(AND(N13=1,M13="SÍ"),"APROBADO","REVISAR")</x:f>
        <x:v>APROBADO</x:v>
      </x:c>
    </x:row>
    <x:row r="14">
      <x:c r="A14" s="45" t="str">
        <x:v>TRM-2026-0010</x:v>
      </x:c>
      <x:c r="B14" s="46" t="n">
        <x:v>46252.00208333333</x:v>
      </x:c>
      <x:c r="C14" s="47" t="str">
        <x:v>Cliente Bravo</x:v>
      </x:c>
      <x:c r="D14" s="47" t="str">
        <x:v>****2433</x:v>
      </x:c>
      <x:c r="E14" s="47" t="str">
        <x:v>Bloqueo preventivo</x:v>
      </x:c>
      <x:c r="F14" s="47" t="str">
        <x:v>Pasaporte</x:v>
      </x:c>
      <x:c r="G14" s="48" t="n">
        <x:v>2057</x:v>
      </x:c>
      <x:c r="H14" s="47" t="str">
        <x:v>Completo</x:v>
      </x:c>
      <x:c r="I14" s="47" t="n">
        <x:v>9</x:v>
      </x:c>
      <x:c r="J14" s="47" t="str">
        <x:f>IF(COUNTIF($A$5:$A$52,A14)&gt;1,"REVISAR","ÚNICO")</x:f>
        <x:v>ÚNICO</x:v>
      </x:c>
      <x:c r="K14" s="47" t="str">
        <x:f>IF(AND(A14&lt;&gt;"",B14&lt;&gt;"",C14&lt;&gt;"",D14&lt;&gt;"",E14&lt;&gt;"",F14&lt;&gt;"",H14&lt;&gt;""),"COMPLETO","INCOMPLETO")</x:f>
        <x:v>COMPLETO</x:v>
      </x:c>
      <x:c r="L14" s="47" t="n">
        <x:f>IF(E14="Alta de cliente",'Catalogos'!$B$4,IF(E14="Actualización de datos",'Catalogos'!$B$5,IF(E14="Aclaración",'Catalogos'!$B$6,IF(E14="Transferencia",'Catalogos'!$B$7,'Catalogos'!$B$8))))</x:f>
        <x:v>5</x:v>
      </x:c>
      <x:c r="M14" s="47" t="str">
        <x:f>IF(I14&lt;=L14,"SÍ","NO")</x:f>
        <x:v>NO</x:v>
      </x:c>
      <x:c r="N14" s="49" t="n">
        <x:f>IF(AND(H14="Completo",J14="ÚNICO",K14="COMPLETO"),1,0)</x:f>
        <x:v>1</x:v>
      </x:c>
      <x:c r="O14" s="50" t="str">
        <x:f>IF(AND(N14=1,M14="SÍ"),"APROBADO","REVISAR")</x:f>
        <x:v>REVISAR</x:v>
      </x:c>
    </x:row>
    <x:row r="15">
      <x:c r="A15" s="45" t="str">
        <x:v>TRM-2026-0011</x:v>
      </x:c>
      <x:c r="B15" s="46" t="n">
        <x:v>46252.006944444445</x:v>
      </x:c>
      <x:c r="C15" s="47" t="str">
        <x:v>Cliente Cobre</x:v>
      </x:c>
      <x:c r="D15" s="47" t="str">
        <x:v>****2470</x:v>
      </x:c>
      <x:c r="E15" s="47" t="str">
        <x:v>Alta de cliente</x:v>
      </x:c>
      <x:c r="F15" s="47" t="str">
        <x:v>Comprobante domicilio</x:v>
      </x:c>
      <x:c r="G15" s="48" t="n">
        <x:v>2230</x:v>
      </x:c>
      <x:c r="H15" s="47" t="str">
        <x:v>Completo</x:v>
      </x:c>
      <x:c r="I15" s="47" t="n">
        <x:v>11</x:v>
      </x:c>
      <x:c r="J15" s="47" t="str">
        <x:f>IF(COUNTIF($A$5:$A$52,A15)&gt;1,"REVISAR","ÚNICO")</x:f>
        <x:v>ÚNICO</x:v>
      </x:c>
      <x:c r="K15" s="47" t="str">
        <x:f>IF(AND(A15&lt;&gt;"",B15&lt;&gt;"",C15&lt;&gt;"",D15&lt;&gt;"",E15&lt;&gt;"",F15&lt;&gt;"",H15&lt;&gt;""),"COMPLETO","INCOMPLETO")</x:f>
        <x:v>COMPLETO</x:v>
      </x:c>
      <x:c r="L15" s="47" t="n">
        <x:f>IF(E15="Alta de cliente",'Catalogos'!$B$4,IF(E15="Actualización de datos",'Catalogos'!$B$5,IF(E15="Aclaración",'Catalogos'!$B$6,IF(E15="Transferencia",'Catalogos'!$B$7,'Catalogos'!$B$8))))</x:f>
        <x:v>12</x:v>
      </x:c>
      <x:c r="M15" s="47" t="str">
        <x:f>IF(I15&lt;=L15,"SÍ","NO")</x:f>
        <x:v>SÍ</x:v>
      </x:c>
      <x:c r="N15" s="49" t="n">
        <x:f>IF(AND(H15="Completo",J15="ÚNICO",K15="COMPLETO"),1,0)</x:f>
        <x:v>1</x:v>
      </x:c>
      <x:c r="O15" s="50" t="str">
        <x:f>IF(AND(N15=1,M15="SÍ"),"APROBADO","REVISAR")</x:f>
        <x:v>APROBADO</x:v>
      </x:c>
    </x:row>
    <x:row r="16">
      <x:c r="A16" s="45" t="str">
        <x:v>TRM-2026-0012</x:v>
      </x:c>
      <x:c r="B16" s="46" t="n">
        <x:v>46252.01180555556</x:v>
      </x:c>
      <x:c r="C16" s="47" t="str">
        <x:v>Cliente Delta</x:v>
      </x:c>
      <x:c r="D16" s="47" t="str">
        <x:v>****2507</x:v>
      </x:c>
      <x:c r="E16" s="47" t="str">
        <x:v>Actualización de datos</x:v>
      </x:c>
      <x:c r="F16" s="47" t="str">
        <x:v>Formato interno</x:v>
      </x:c>
      <x:c r="G16" s="48" t="n">
        <x:v>2403</x:v>
      </x:c>
      <x:c r="H16" s="47" t="str">
        <x:v>Completo</x:v>
      </x:c>
      <x:c r="I16" s="47" t="n">
        <x:v>6</x:v>
      </x:c>
      <x:c r="J16" s="47" t="str">
        <x:f>IF(COUNTIF($A$5:$A$52,A16)&gt;1,"REVISAR","ÚNICO")</x:f>
        <x:v>REVISAR</x:v>
      </x:c>
      <x:c r="K16" s="47" t="str">
        <x:f>IF(AND(A16&lt;&gt;"",B16&lt;&gt;"",C16&lt;&gt;"",D16&lt;&gt;"",E16&lt;&gt;"",F16&lt;&gt;"",H16&lt;&gt;""),"COMPLETO","INCOMPLETO")</x:f>
        <x:v>COMPLETO</x:v>
      </x:c>
      <x:c r="L16" s="47" t="n">
        <x:f>IF(E16="Alta de cliente",'Catalogos'!$B$4,IF(E16="Actualización de datos",'Catalogos'!$B$5,IF(E16="Aclaración",'Catalogos'!$B$6,IF(E16="Transferencia",'Catalogos'!$B$7,'Catalogos'!$B$8))))</x:f>
        <x:v>8</x:v>
      </x:c>
      <x:c r="M16" s="47" t="str">
        <x:f>IF(I16&lt;=L16,"SÍ","NO")</x:f>
        <x:v>SÍ</x:v>
      </x:c>
      <x:c r="N16" s="49" t="n">
        <x:f>IF(AND(H16="Completo",J16="ÚNICO",K16="COMPLETO"),1,0)</x:f>
        <x:v>0</x:v>
      </x:c>
      <x:c r="O16" s="50" t="str">
        <x:f>IF(AND(N16=1,M16="SÍ"),"APROBADO","REVISAR")</x:f>
        <x:v>REVISAR</x:v>
      </x:c>
    </x:row>
    <x:row r="17">
      <x:c r="A17" s="45" t="str">
        <x:v>TRM-2026-0013</x:v>
      </x:c>
      <x:c r="B17" s="46" t="n">
        <x:v>46252.01666666667</x:v>
      </x:c>
      <x:c r="C17" s="47" t="str">
        <x:v>Cliente Ébano</x:v>
      </x:c>
      <x:c r="D17" s="47" t="str">
        <x:v>****2544</x:v>
      </x:c>
      <x:c r="E17" s="47" t="str">
        <x:v>Aclaración</x:v>
      </x:c>
      <x:c r="F17" s="47" t="str">
        <x:v>INE</x:v>
      </x:c>
      <x:c r="G17" s="48" t="n">
        <x:v>2576</x:v>
      </x:c>
      <x:c r="H17" s="47" t="str">
        <x:v>Completo</x:v>
      </x:c>
      <x:c r="I17" s="47" t="n">
        <x:v>15</x:v>
      </x:c>
      <x:c r="J17" s="47" t="str">
        <x:f>IF(COUNTIF($A$5:$A$52,A17)&gt;1,"REVISAR","ÚNICO")</x:f>
        <x:v>ÚNICO</x:v>
      </x:c>
      <x:c r="K17" s="47" t="str">
        <x:f>IF(AND(A17&lt;&gt;"",B17&lt;&gt;"",C17&lt;&gt;"",D17&lt;&gt;"",E17&lt;&gt;"",F17&lt;&gt;"",H17&lt;&gt;""),"COMPLETO","INCOMPLETO")</x:f>
        <x:v>COMPLETO</x:v>
      </x:c>
      <x:c r="L17" s="47" t="n">
        <x:f>IF(E17="Alta de cliente",'Catalogos'!$B$4,IF(E17="Actualización de datos",'Catalogos'!$B$5,IF(E17="Aclaración",'Catalogos'!$B$6,IF(E17="Transferencia",'Catalogos'!$B$7,'Catalogos'!$B$8))))</x:f>
        <x:v>15</x:v>
      </x:c>
      <x:c r="M17" s="47" t="str">
        <x:f>IF(I17&lt;=L17,"SÍ","NO")</x:f>
        <x:v>SÍ</x:v>
      </x:c>
      <x:c r="N17" s="49" t="n">
        <x:f>IF(AND(H17="Completo",J17="ÚNICO",K17="COMPLETO"),1,0)</x:f>
        <x:v>1</x:v>
      </x:c>
      <x:c r="O17" s="50" t="str">
        <x:f>IF(AND(N17=1,M17="SÍ"),"APROBADO","REVISAR")</x:f>
        <x:v>APROBADO</x:v>
      </x:c>
    </x:row>
    <x:row r="18">
      <x:c r="A18" s="45" t="str">
        <x:v>TRM-2026-0014</x:v>
      </x:c>
      <x:c r="B18" s="46" t="n">
        <x:v>46252.021527777775</x:v>
      </x:c>
      <x:c r="C18" s="47" t="str">
        <x:v>Cliente Faro</x:v>
      </x:c>
      <x:c r="D18" s="47" t="str">
        <x:v>****2581</x:v>
      </x:c>
      <x:c r="E18" s="47" t="str">
        <x:v>Transferencia</x:v>
      </x:c>
      <x:c r="F18" s="47" t="str">
        <x:v>Pasaporte</x:v>
      </x:c>
      <x:c r="G18" s="48" t="n">
        <x:v>2749</x:v>
      </x:c>
      <x:c r="H18" s="47" t="str">
        <x:v>Completo</x:v>
      </x:c>
      <x:c r="I18" s="47" t="n">
        <x:v>5</x:v>
      </x:c>
      <x:c r="J18" s="47" t="str">
        <x:f>IF(COUNTIF($A$5:$A$52,A18)&gt;1,"REVISAR","ÚNICO")</x:f>
        <x:v>ÚNICO</x:v>
      </x:c>
      <x:c r="K18" s="47" t="str">
        <x:f>IF(AND(A18&lt;&gt;"",B18&lt;&gt;"",C18&lt;&gt;"",D18&lt;&gt;"",E18&lt;&gt;"",F18&lt;&gt;"",H18&lt;&gt;""),"COMPLETO","INCOMPLETO")</x:f>
        <x:v>COMPLETO</x:v>
      </x:c>
      <x:c r="L18" s="47" t="n">
        <x:f>IF(E18="Alta de cliente",'Catalogos'!$B$4,IF(E18="Actualización de datos",'Catalogos'!$B$5,IF(E18="Aclaración",'Catalogos'!$B$6,IF(E18="Transferencia",'Catalogos'!$B$7,'Catalogos'!$B$8))))</x:f>
        <x:v>6</x:v>
      </x:c>
      <x:c r="M18" s="47" t="str">
        <x:f>IF(I18&lt;=L18,"SÍ","NO")</x:f>
        <x:v>SÍ</x:v>
      </x:c>
      <x:c r="N18" s="49" t="n">
        <x:f>IF(AND(H18="Completo",J18="ÚNICO",K18="COMPLETO"),1,0)</x:f>
        <x:v>1</x:v>
      </x:c>
      <x:c r="O18" s="50" t="str">
        <x:f>IF(AND(N18=1,M18="SÍ"),"APROBADO","REVISAR")</x:f>
        <x:v>APROBADO</x:v>
      </x:c>
    </x:row>
    <x:row r="19">
      <x:c r="A19" s="45" t="str">
        <x:v>TRM-2026-0015</x:v>
      </x:c>
      <x:c r="B19" s="46" t="n">
        <x:v>46252.02638888889</x:v>
      </x:c>
      <x:c r="C19" s="47" t="str">
        <x:v>Cliente Gema</x:v>
      </x:c>
      <x:c r="D19" s="47" t="str">
        <x:v>****2618</x:v>
      </x:c>
      <x:c r="E19" s="47" t="str">
        <x:v>Bloqueo preventivo</x:v>
      </x:c>
      <x:c r="F19" s="47" t="str">
        <x:v>Comprobante domicilio</x:v>
      </x:c>
      <x:c r="G19" s="48" t="n">
        <x:v>2922</x:v>
      </x:c>
      <x:c r="H19" s="47" t="str">
        <x:v>Completo</x:v>
      </x:c>
      <x:c r="I19" s="47" t="n">
        <x:v>3</x:v>
      </x:c>
      <x:c r="J19" s="47" t="str">
        <x:f>IF(COUNTIF($A$5:$A$52,A19)&gt;1,"REVISAR","ÚNICO")</x:f>
        <x:v>ÚNICO</x:v>
      </x:c>
      <x:c r="K19" s="47" t="str">
        <x:f>IF(AND(A19&lt;&gt;"",B19&lt;&gt;"",C19&lt;&gt;"",D19&lt;&gt;"",E19&lt;&gt;"",F19&lt;&gt;"",H19&lt;&gt;""),"COMPLETO","INCOMPLETO")</x:f>
        <x:v>COMPLETO</x:v>
      </x:c>
      <x:c r="L19" s="47" t="n">
        <x:f>IF(E19="Alta de cliente",'Catalogos'!$B$4,IF(E19="Actualización de datos",'Catalogos'!$B$5,IF(E19="Aclaración",'Catalogos'!$B$6,IF(E19="Transferencia",'Catalogos'!$B$7,'Catalogos'!$B$8))))</x:f>
        <x:v>5</x:v>
      </x:c>
      <x:c r="M19" s="47" t="str">
        <x:f>IF(I19&lt;=L19,"SÍ","NO")</x:f>
        <x:v>SÍ</x:v>
      </x:c>
      <x:c r="N19" s="49" t="n">
        <x:f>IF(AND(H19="Completo",J19="ÚNICO",K19="COMPLETO"),1,0)</x:f>
        <x:v>1</x:v>
      </x:c>
      <x:c r="O19" s="50" t="str">
        <x:f>IF(AND(N19=1,M19="SÍ"),"APROBADO","REVISAR")</x:f>
        <x:v>APROBADO</x:v>
      </x:c>
    </x:row>
    <x:row r="20">
      <x:c r="A20" s="45" t="str">
        <x:v>TRM-2026-0016</x:v>
      </x:c>
      <x:c r="B20" s="46" t="n">
        <x:v>46252.03125</x:v>
      </x:c>
      <x:c r="C20" s="47" t="str">
        <x:v>Cliente Horizonte</x:v>
      </x:c>
      <x:c r="D20" s="47" t="str">
        <x:v>****2655</x:v>
      </x:c>
      <x:c r="E20" s="47" t="str">
        <x:v>Alta de cliente</x:v>
      </x:c>
      <x:c r="F20" s="47" t="str">
        <x:v>Formato interno</x:v>
      </x:c>
      <x:c r="G20" s="48" t="n">
        <x:v>3095</x:v>
      </x:c>
      <x:c r="H20" s="47" t="str">
        <x:v>Completo</x:v>
      </x:c>
      <x:c r="I20" s="47" t="n">
        <x:v>12</x:v>
      </x:c>
      <x:c r="J20" s="47" t="str">
        <x:f>IF(COUNTIF($A$5:$A$52,A20)&gt;1,"REVISAR","ÚNICO")</x:f>
        <x:v>ÚNICO</x:v>
      </x:c>
      <x:c r="K20" s="47" t="str">
        <x:f>IF(AND(A20&lt;&gt;"",B20&lt;&gt;"",C20&lt;&gt;"",D20&lt;&gt;"",E20&lt;&gt;"",F20&lt;&gt;"",H20&lt;&gt;""),"COMPLETO","INCOMPLETO")</x:f>
        <x:v>COMPLETO</x:v>
      </x:c>
      <x:c r="L20" s="47" t="n">
        <x:f>IF(E20="Alta de cliente",'Catalogos'!$B$4,IF(E20="Actualización de datos",'Catalogos'!$B$5,IF(E20="Aclaración",'Catalogos'!$B$6,IF(E20="Transferencia",'Catalogos'!$B$7,'Catalogos'!$B$8))))</x:f>
        <x:v>12</x:v>
      </x:c>
      <x:c r="M20" s="47" t="str">
        <x:f>IF(I20&lt;=L20,"SÍ","NO")</x:f>
        <x:v>SÍ</x:v>
      </x:c>
      <x:c r="N20" s="49" t="n">
        <x:f>IF(AND(H20="Completo",J20="ÚNICO",K20="COMPLETO"),1,0)</x:f>
        <x:v>1</x:v>
      </x:c>
      <x:c r="O20" s="50" t="str">
        <x:f>IF(AND(N20=1,M20="SÍ"),"APROBADO","REVISAR")</x:f>
        <x:v>APROBADO</x:v>
      </x:c>
    </x:row>
    <x:row r="21">
      <x:c r="A21" s="45" t="str">
        <x:v>TRM-2026-0017</x:v>
      </x:c>
      <x:c r="B21" s="46" t="n">
        <x:v>46253.03611111111</x:v>
      </x:c>
      <x:c r="C21" s="47" t="str">
        <x:v>Cliente Alfa</x:v>
      </x:c>
      <x:c r="D21" s="47" t="str">
        <x:v>****2692</x:v>
      </x:c>
      <x:c r="E21" s="47" t="str">
        <x:v>Actualización de datos</x:v>
      </x:c>
      <x:c r="F21" s="47" t="str">
        <x:v>INE</x:v>
      </x:c>
      <x:c r="G21" s="48" t="n">
        <x:v>3268</x:v>
      </x:c>
      <x:c r="H21" s="47" t="str">
        <x:v>Completo</x:v>
      </x:c>
      <x:c r="I21" s="47" t="n">
        <x:v>7</x:v>
      </x:c>
      <x:c r="J21" s="47" t="str">
        <x:f>IF(COUNTIF($A$5:$A$52,A21)&gt;1,"REVISAR","ÚNICO")</x:f>
        <x:v>ÚNICO</x:v>
      </x:c>
      <x:c r="K21" s="47" t="str">
        <x:f>IF(AND(A21&lt;&gt;"",B21&lt;&gt;"",C21&lt;&gt;"",D21&lt;&gt;"",E21&lt;&gt;"",F21&lt;&gt;"",H21&lt;&gt;""),"COMPLETO","INCOMPLETO")</x:f>
        <x:v>COMPLETO</x:v>
      </x:c>
      <x:c r="L21" s="47" t="n">
        <x:f>IF(E21="Alta de cliente",'Catalogos'!$B$4,IF(E21="Actualización de datos",'Catalogos'!$B$5,IF(E21="Aclaración",'Catalogos'!$B$6,IF(E21="Transferencia",'Catalogos'!$B$7,'Catalogos'!$B$8))))</x:f>
        <x:v>8</x:v>
      </x:c>
      <x:c r="M21" s="47" t="str">
        <x:f>IF(I21&lt;=L21,"SÍ","NO")</x:f>
        <x:v>SÍ</x:v>
      </x:c>
      <x:c r="N21" s="49" t="n">
        <x:f>IF(AND(H21="Completo",J21="ÚNICO",K21="COMPLETO"),1,0)</x:f>
        <x:v>1</x:v>
      </x:c>
      <x:c r="O21" s="50" t="str">
        <x:f>IF(AND(N21=1,M21="SÍ"),"APROBADO","REVISAR")</x:f>
        <x:v>APROBADO</x:v>
      </x:c>
    </x:row>
    <x:row r="22">
      <x:c r="A22" s="45" t="str">
        <x:v>TRM-2026-0018</x:v>
      </x:c>
      <x:c r="B22" s="46" t="n">
        <x:v>46253.040972222225</x:v>
      </x:c>
      <x:c r="C22" s="47" t="str">
        <x:v>Cliente Bravo</x:v>
      </x:c>
      <x:c r="D22" s="47" t="str">
        <x:v>****2729</x:v>
      </x:c>
      <x:c r="E22" s="47" t="str">
        <x:v>Aclaración</x:v>
      </x:c>
      <x:c r="F22" s="47" t="str">
        <x:v>Pasaporte</x:v>
      </x:c>
      <x:c r="G22" s="48" t="n">
        <x:v>3441</x:v>
      </x:c>
      <x:c r="H22" s="47" t="str">
        <x:v>Completo</x:v>
      </x:c>
      <x:c r="I22" s="47" t="n">
        <x:v>13</x:v>
      </x:c>
      <x:c r="J22" s="47" t="str">
        <x:f>IF(COUNTIF($A$5:$A$52,A22)&gt;1,"REVISAR","ÚNICO")</x:f>
        <x:v>ÚNICO</x:v>
      </x:c>
      <x:c r="K22" s="47" t="str">
        <x:f>IF(AND(A22&lt;&gt;"",B22&lt;&gt;"",C22&lt;&gt;"",D22&lt;&gt;"",E22&lt;&gt;"",F22&lt;&gt;"",H22&lt;&gt;""),"COMPLETO","INCOMPLETO")</x:f>
        <x:v>COMPLETO</x:v>
      </x:c>
      <x:c r="L22" s="47" t="n">
        <x:f>IF(E22="Alta de cliente",'Catalogos'!$B$4,IF(E22="Actualización de datos",'Catalogos'!$B$5,IF(E22="Aclaración",'Catalogos'!$B$6,IF(E22="Transferencia",'Catalogos'!$B$7,'Catalogos'!$B$8))))</x:f>
        <x:v>15</x:v>
      </x:c>
      <x:c r="M22" s="47" t="str">
        <x:f>IF(I22&lt;=L22,"SÍ","NO")</x:f>
        <x:v>SÍ</x:v>
      </x:c>
      <x:c r="N22" s="49" t="n">
        <x:f>IF(AND(H22="Completo",J22="ÚNICO",K22="COMPLETO"),1,0)</x:f>
        <x:v>1</x:v>
      </x:c>
      <x:c r="O22" s="50" t="str">
        <x:f>IF(AND(N22=1,M22="SÍ"),"APROBADO","REVISAR")</x:f>
        <x:v>APROBADO</x:v>
      </x:c>
    </x:row>
    <x:row r="23">
      <x:c r="A23" s="45" t="str">
        <x:v>TRM-2026-0019</x:v>
      </x:c>
      <x:c r="B23" s="46" t="n">
        <x:v>46253.004166666666</x:v>
      </x:c>
      <x:c r="C23" s="47" t="str">
        <x:v>Cliente Cobre</x:v>
      </x:c>
      <x:c r="D23" s="47" t="str">
        <x:v>****2766</x:v>
      </x:c>
      <x:c r="E23" s="47" t="str">
        <x:v>Transferencia</x:v>
      </x:c>
      <x:c r="F23" s="47" t="str">
        <x:v>Comprobante domicilio</x:v>
      </x:c>
      <x:c r="G23" s="48" t="n">
        <x:v>3614</x:v>
      </x:c>
      <x:c r="H23" s="47" t="str">
        <x:v>Completo</x:v>
      </x:c>
      <x:c r="I23" s="47" t="n">
        <x:v>6</x:v>
      </x:c>
      <x:c r="J23" s="47" t="str">
        <x:f>IF(COUNTIF($A$5:$A$52,A23)&gt;1,"REVISAR","ÚNICO")</x:f>
        <x:v>ÚNICO</x:v>
      </x:c>
      <x:c r="K23" s="47" t="str">
        <x:f>IF(AND(A23&lt;&gt;"",B23&lt;&gt;"",C23&lt;&gt;"",D23&lt;&gt;"",E23&lt;&gt;"",F23&lt;&gt;"",H23&lt;&gt;""),"COMPLETO","INCOMPLETO")</x:f>
        <x:v>COMPLETO</x:v>
      </x:c>
      <x:c r="L23" s="47" t="n">
        <x:f>IF(E23="Alta de cliente",'Catalogos'!$B$4,IF(E23="Actualización de datos",'Catalogos'!$B$5,IF(E23="Aclaración",'Catalogos'!$B$6,IF(E23="Transferencia",'Catalogos'!$B$7,'Catalogos'!$B$8))))</x:f>
        <x:v>6</x:v>
      </x:c>
      <x:c r="M23" s="47" t="str">
        <x:f>IF(I23&lt;=L23,"SÍ","NO")</x:f>
        <x:v>SÍ</x:v>
      </x:c>
      <x:c r="N23" s="49" t="n">
        <x:f>IF(AND(H23="Completo",J23="ÚNICO",K23="COMPLETO"),1,0)</x:f>
        <x:v>1</x:v>
      </x:c>
      <x:c r="O23" s="50" t="str">
        <x:f>IF(AND(N23=1,M23="SÍ"),"APROBADO","REVISAR")</x:f>
        <x:v>APROBADO</x:v>
      </x:c>
    </x:row>
    <x:row r="24">
      <x:c r="A24" s="45" t="str">
        <x:v>TRM-2026-0012</x:v>
      </x:c>
      <x:c r="B24" s="46" t="n">
        <x:v>46253.00902777778</x:v>
      </x:c>
      <x:c r="C24" s="47" t="str">
        <x:v>Cliente Delta</x:v>
      </x:c>
      <x:c r="D24" s="47" t="str">
        <x:v>****2803</x:v>
      </x:c>
      <x:c r="E24" s="47" t="str">
        <x:v>Bloqueo preventivo</x:v>
      </x:c>
      <x:c r="F24" s="47" t="str">
        <x:v>Formato interno</x:v>
      </x:c>
      <x:c r="G24" s="48" t="n">
        <x:v>3787</x:v>
      </x:c>
      <x:c r="H24" s="47" t="str">
        <x:v>Incompleto</x:v>
      </x:c>
      <x:c r="I24" s="47" t="n">
        <x:v>4</x:v>
      </x:c>
      <x:c r="J24" s="47" t="str">
        <x:f>IF(COUNTIF($A$5:$A$52,A24)&gt;1,"REVISAR","ÚNICO")</x:f>
        <x:v>REVISAR</x:v>
      </x:c>
      <x:c r="K24" s="47" t="str">
        <x:f>IF(AND(A24&lt;&gt;"",B24&lt;&gt;"",C24&lt;&gt;"",D24&lt;&gt;"",E24&lt;&gt;"",F24&lt;&gt;"",H24&lt;&gt;""),"COMPLETO","INCOMPLETO")</x:f>
        <x:v>COMPLETO</x:v>
      </x:c>
      <x:c r="L24" s="47" t="n">
        <x:f>IF(E24="Alta de cliente",'Catalogos'!$B$4,IF(E24="Actualización de datos",'Catalogos'!$B$5,IF(E24="Aclaración",'Catalogos'!$B$6,IF(E24="Transferencia",'Catalogos'!$B$7,'Catalogos'!$B$8))))</x:f>
        <x:v>5</x:v>
      </x:c>
      <x:c r="M24" s="47" t="str">
        <x:f>IF(I24&lt;=L24,"SÍ","NO")</x:f>
        <x:v>SÍ</x:v>
      </x:c>
      <x:c r="N24" s="49" t="n">
        <x:f>IF(AND(H24="Completo",J24="ÚNICO",K24="COMPLETO"),1,0)</x:f>
        <x:v>0</x:v>
      </x:c>
      <x:c r="O24" s="50" t="str">
        <x:f>IF(AND(N24=1,M24="SÍ"),"APROBADO","REVISAR")</x:f>
        <x:v>REVISAR</x:v>
      </x:c>
    </x:row>
    <x:row r="25">
      <x:c r="A25" s="45" t="str">
        <x:v>TRM-2026-0021</x:v>
      </x:c>
      <x:c r="B25" s="46" t="n">
        <x:v>46253.01388888889</x:v>
      </x:c>
      <x:c r="C25" s="47" t="str">
        <x:v>Cliente Ébano</x:v>
      </x:c>
      <x:c r="D25" s="47" t="str">
        <x:v>****2840</x:v>
      </x:c>
      <x:c r="E25" s="47" t="str">
        <x:v>Alta de cliente</x:v>
      </x:c>
      <x:c r="F25" s="47" t="str">
        <x:v>INE</x:v>
      </x:c>
      <x:c r="G25" s="48" t="n">
        <x:v>3960</x:v>
      </x:c>
      <x:c r="H25" s="47" t="str">
        <x:v>Completo</x:v>
      </x:c>
      <x:c r="I25" s="47" t="n">
        <x:v>10</x:v>
      </x:c>
      <x:c r="J25" s="47" t="str">
        <x:f>IF(COUNTIF($A$5:$A$52,A25)&gt;1,"REVISAR","ÚNICO")</x:f>
        <x:v>ÚNICO</x:v>
      </x:c>
      <x:c r="K25" s="47" t="str">
        <x:f>IF(AND(A25&lt;&gt;"",B25&lt;&gt;"",C25&lt;&gt;"",D25&lt;&gt;"",E25&lt;&gt;"",F25&lt;&gt;"",H25&lt;&gt;""),"COMPLETO","INCOMPLETO")</x:f>
        <x:v>COMPLETO</x:v>
      </x:c>
      <x:c r="L25" s="47" t="n">
        <x:f>IF(E25="Alta de cliente",'Catalogos'!$B$4,IF(E25="Actualización de datos",'Catalogos'!$B$5,IF(E25="Aclaración",'Catalogos'!$B$6,IF(E25="Transferencia",'Catalogos'!$B$7,'Catalogos'!$B$8))))</x:f>
        <x:v>12</x:v>
      </x:c>
      <x:c r="M25" s="47" t="str">
        <x:f>IF(I25&lt;=L25,"SÍ","NO")</x:f>
        <x:v>SÍ</x:v>
      </x:c>
      <x:c r="N25" s="49" t="n">
        <x:f>IF(AND(H25="Completo",J25="ÚNICO",K25="COMPLETO"),1,0)</x:f>
        <x:v>1</x:v>
      </x:c>
      <x:c r="O25" s="50" t="str">
        <x:f>IF(AND(N25=1,M25="SÍ"),"APROBADO","REVISAR")</x:f>
        <x:v>APROBADO</x:v>
      </x:c>
    </x:row>
    <x:row r="26">
      <x:c r="A26" s="45" t="str">
        <x:v>TRM-2026-0022</x:v>
      </x:c>
      <x:c r="B26" s="46" t="n">
        <x:v>46253.01875</x:v>
      </x:c>
      <x:c r="C26" s="47" t="str">
        <x:v>Cliente Faro</x:v>
      </x:c>
      <x:c r="D26" s="47" t="str">
        <x:v>****2877</x:v>
      </x:c>
      <x:c r="E26" s="47" t="str">
        <x:v>Actualización de datos</x:v>
      </x:c>
      <x:c r="F26" s="47" t="str">
        <x:v>Pasaporte</x:v>
      </x:c>
      <x:c r="G26" s="48" t="n">
        <x:v>4133</x:v>
      </x:c>
      <x:c r="H26" s="47" t="str">
        <x:v>Completo</x:v>
      </x:c>
      <x:c r="I26" s="47" t="n">
        <x:v>8</x:v>
      </x:c>
      <x:c r="J26" s="47" t="str">
        <x:f>IF(COUNTIF($A$5:$A$52,A26)&gt;1,"REVISAR","ÚNICO")</x:f>
        <x:v>ÚNICO</x:v>
      </x:c>
      <x:c r="K26" s="47" t="str">
        <x:f>IF(AND(A26&lt;&gt;"",B26&lt;&gt;"",C26&lt;&gt;"",D26&lt;&gt;"",E26&lt;&gt;"",F26&lt;&gt;"",H26&lt;&gt;""),"COMPLETO","INCOMPLETO")</x:f>
        <x:v>COMPLETO</x:v>
      </x:c>
      <x:c r="L26" s="47" t="n">
        <x:f>IF(E26="Alta de cliente",'Catalogos'!$B$4,IF(E26="Actualización de datos",'Catalogos'!$B$5,IF(E26="Aclaración",'Catalogos'!$B$6,IF(E26="Transferencia",'Catalogos'!$B$7,'Catalogos'!$B$8))))</x:f>
        <x:v>8</x:v>
      </x:c>
      <x:c r="M26" s="47" t="str">
        <x:f>IF(I26&lt;=L26,"SÍ","NO")</x:f>
        <x:v>SÍ</x:v>
      </x:c>
      <x:c r="N26" s="49" t="n">
        <x:f>IF(AND(H26="Completo",J26="ÚNICO",K26="COMPLETO"),1,0)</x:f>
        <x:v>1</x:v>
      </x:c>
      <x:c r="O26" s="50" t="str">
        <x:f>IF(AND(N26=1,M26="SÍ"),"APROBADO","REVISAR")</x:f>
        <x:v>APROBADO</x:v>
      </x:c>
    </x:row>
    <x:row r="27">
      <x:c r="A27" s="45" t="str">
        <x:v>TRM-2026-0023</x:v>
      </x:c>
      <x:c r="B27" s="46" t="n">
        <x:v>46253.02361111111</x:v>
      </x:c>
      <x:c r="C27" s="47" t="str">
        <x:v>Cliente Gema</x:v>
      </x:c>
      <x:c r="D27" s="47" t="str">
        <x:v>****2914</x:v>
      </x:c>
      <x:c r="E27" s="47" t="str">
        <x:v>Aclaración</x:v>
      </x:c>
      <x:c r="F27" s="47" t="str">
        <x:v>Comprobante domicilio</x:v>
      </x:c>
      <x:c r="G27" s="48" t="n">
        <x:v>4306</x:v>
      </x:c>
      <x:c r="H27" s="47" t="str">
        <x:v>Completo</x:v>
      </x:c>
      <x:c r="I27" s="47" t="n">
        <x:v>14</x:v>
      </x:c>
      <x:c r="J27" s="47" t="str">
        <x:f>IF(COUNTIF($A$5:$A$52,A27)&gt;1,"REVISAR","ÚNICO")</x:f>
        <x:v>ÚNICO</x:v>
      </x:c>
      <x:c r="K27" s="47" t="str">
        <x:f>IF(AND(A27&lt;&gt;"",B27&lt;&gt;"",C27&lt;&gt;"",D27&lt;&gt;"",E27&lt;&gt;"",F27&lt;&gt;"",H27&lt;&gt;""),"COMPLETO","INCOMPLETO")</x:f>
        <x:v>COMPLETO</x:v>
      </x:c>
      <x:c r="L27" s="47" t="n">
        <x:f>IF(E27="Alta de cliente",'Catalogos'!$B$4,IF(E27="Actualización de datos",'Catalogos'!$B$5,IF(E27="Aclaración",'Catalogos'!$B$6,IF(E27="Transferencia",'Catalogos'!$B$7,'Catalogos'!$B$8))))</x:f>
        <x:v>15</x:v>
      </x:c>
      <x:c r="M27" s="47" t="str">
        <x:f>IF(I27&lt;=L27,"SÍ","NO")</x:f>
        <x:v>SÍ</x:v>
      </x:c>
      <x:c r="N27" s="49" t="n">
        <x:f>IF(AND(H27="Completo",J27="ÚNICO",K27="COMPLETO"),1,0)</x:f>
        <x:v>1</x:v>
      </x:c>
      <x:c r="O27" s="50" t="str">
        <x:f>IF(AND(N27=1,M27="SÍ"),"APROBADO","REVISAR")</x:f>
        <x:v>APROBADO</x:v>
      </x:c>
    </x:row>
    <x:row r="28">
      <x:c r="A28" s="45" t="str">
        <x:v>TRM-2026-0024</x:v>
      </x:c>
      <x:c r="B28" s="46" t="n">
        <x:v>46253.02847222222</x:v>
      </x:c>
      <x:c r="C28" s="47" t="str">
        <x:v>Cliente Horizonte</x:v>
      </x:c>
      <x:c r="D28" s="47" t="str">
        <x:v>****2951</x:v>
      </x:c>
      <x:c r="E28" s="47" t="str">
        <x:v>Transferencia</x:v>
      </x:c>
      <x:c r="F28" s="47" t="str">
        <x:v>Formato interno</x:v>
      </x:c>
      <x:c r="G28" s="48" t="n">
        <x:v>4479</x:v>
      </x:c>
      <x:c r="H28" s="47" t="str">
        <x:v>Completo</x:v>
      </x:c>
      <x:c r="I28" s="47" t="n">
        <x:v>4</x:v>
      </x:c>
      <x:c r="J28" s="47" t="str">
        <x:f>IF(COUNTIF($A$5:$A$52,A28)&gt;1,"REVISAR","ÚNICO")</x:f>
        <x:v>ÚNICO</x:v>
      </x:c>
      <x:c r="K28" s="47" t="str">
        <x:f>IF(AND(A28&lt;&gt;"",B28&lt;&gt;"",C28&lt;&gt;"",D28&lt;&gt;"",E28&lt;&gt;"",F28&lt;&gt;"",H28&lt;&gt;""),"COMPLETO","INCOMPLETO")</x:f>
        <x:v>COMPLETO</x:v>
      </x:c>
      <x:c r="L28" s="47" t="n">
        <x:f>IF(E28="Alta de cliente",'Catalogos'!$B$4,IF(E28="Actualización de datos",'Catalogos'!$B$5,IF(E28="Aclaración",'Catalogos'!$B$6,IF(E28="Transferencia",'Catalogos'!$B$7,'Catalogos'!$B$8))))</x:f>
        <x:v>6</x:v>
      </x:c>
      <x:c r="M28" s="47" t="str">
        <x:f>IF(I28&lt;=L28,"SÍ","NO")</x:f>
        <x:v>SÍ</x:v>
      </x:c>
      <x:c r="N28" s="49" t="n">
        <x:f>IF(AND(H28="Completo",J28="ÚNICO",K28="COMPLETO"),1,0)</x:f>
        <x:v>1</x:v>
      </x:c>
      <x:c r="O28" s="50" t="str">
        <x:f>IF(AND(N28=1,M28="SÍ"),"APROBADO","REVISAR")</x:f>
        <x:v>APROBADO</x:v>
      </x:c>
    </x:row>
    <x:row r="29">
      <x:c r="A29" s="45" t="str">
        <x:v>TRM-2026-0025</x:v>
      </x:c>
      <x:c r="B29" s="46" t="n">
        <x:v>46253.03333333333</x:v>
      </x:c>
      <x:c r="C29" s="47" t="str">
        <x:v>Cliente Alfa</x:v>
      </x:c>
      <x:c r="D29" s="47" t="str">
        <x:v>****2988</x:v>
      </x:c>
      <x:c r="E29" s="47" t="str">
        <x:v>Bloqueo preventivo</x:v>
      </x:c>
      <x:c r="F29" s="47" t="str">
        <x:v>INE</x:v>
      </x:c>
      <x:c r="G29" s="48" t="n">
        <x:v>4652</x:v>
      </x:c>
      <x:c r="H29" s="47" t="str">
        <x:v>Completo</x:v>
      </x:c>
      <x:c r="I29" s="47" t="n">
        <x:v>5</x:v>
      </x:c>
      <x:c r="J29" s="47" t="str">
        <x:f>IF(COUNTIF($A$5:$A$52,A29)&gt;1,"REVISAR","ÚNICO")</x:f>
        <x:v>ÚNICO</x:v>
      </x:c>
      <x:c r="K29" s="47" t="str">
        <x:f>IF(AND(A29&lt;&gt;"",B29&lt;&gt;"",C29&lt;&gt;"",D29&lt;&gt;"",E29&lt;&gt;"",F29&lt;&gt;"",H29&lt;&gt;""),"COMPLETO","INCOMPLETO")</x:f>
        <x:v>COMPLETO</x:v>
      </x:c>
      <x:c r="L29" s="47" t="n">
        <x:f>IF(E29="Alta de cliente",'Catalogos'!$B$4,IF(E29="Actualización de datos",'Catalogos'!$B$5,IF(E29="Aclaración",'Catalogos'!$B$6,IF(E29="Transferencia",'Catalogos'!$B$7,'Catalogos'!$B$8))))</x:f>
        <x:v>5</x:v>
      </x:c>
      <x:c r="M29" s="47" t="str">
        <x:f>IF(I29&lt;=L29,"SÍ","NO")</x:f>
        <x:v>SÍ</x:v>
      </x:c>
      <x:c r="N29" s="49" t="n">
        <x:f>IF(AND(H29="Completo",J29="ÚNICO",K29="COMPLETO"),1,0)</x:f>
        <x:v>1</x:v>
      </x:c>
      <x:c r="O29" s="50" t="str">
        <x:f>IF(AND(N29=1,M29="SÍ"),"APROBADO","REVISAR")</x:f>
        <x:v>APROBADO</x:v>
      </x:c>
    </x:row>
    <x:row r="30">
      <x:c r="A30" s="45" t="str">
        <x:v>TRM-2026-0026</x:v>
      </x:c>
      <x:c r="B30" s="46" t="n">
        <x:v>46253.038194444445</x:v>
      </x:c>
      <x:c r="C30" s="47" t="str">
        <x:v>Cliente Bravo</x:v>
      </x:c>
      <x:c r="D30" s="47" t="str">
        <x:v>****3025</x:v>
      </x:c>
      <x:c r="E30" s="47" t="str">
        <x:v>Alta de cliente</x:v>
      </x:c>
      <x:c r="F30" s="47" t="str">
        <x:v>Pasaporte</x:v>
      </x:c>
      <x:c r="G30" s="48" t="n">
        <x:v>4825</x:v>
      </x:c>
      <x:c r="H30" s="47" t="str">
        <x:v>Completo</x:v>
      </x:c>
      <x:c r="I30" s="47" t="n">
        <x:v>11</x:v>
      </x:c>
      <x:c r="J30" s="47" t="str">
        <x:f>IF(COUNTIF($A$5:$A$52,A30)&gt;1,"REVISAR","ÚNICO")</x:f>
        <x:v>ÚNICO</x:v>
      </x:c>
      <x:c r="K30" s="47" t="str">
        <x:f>IF(AND(A30&lt;&gt;"",B30&lt;&gt;"",C30&lt;&gt;"",D30&lt;&gt;"",E30&lt;&gt;"",F30&lt;&gt;"",H30&lt;&gt;""),"COMPLETO","INCOMPLETO")</x:f>
        <x:v>COMPLETO</x:v>
      </x:c>
      <x:c r="L30" s="47" t="n">
        <x:f>IF(E30="Alta de cliente",'Catalogos'!$B$4,IF(E30="Actualización de datos",'Catalogos'!$B$5,IF(E30="Aclaración",'Catalogos'!$B$6,IF(E30="Transferencia",'Catalogos'!$B$7,'Catalogos'!$B$8))))</x:f>
        <x:v>12</x:v>
      </x:c>
      <x:c r="M30" s="47" t="str">
        <x:f>IF(I30&lt;=L30,"SÍ","NO")</x:f>
        <x:v>SÍ</x:v>
      </x:c>
      <x:c r="N30" s="49" t="n">
        <x:f>IF(AND(H30="Completo",J30="ÚNICO",K30="COMPLETO"),1,0)</x:f>
        <x:v>1</x:v>
      </x:c>
      <x:c r="O30" s="50" t="str">
        <x:f>IF(AND(N30=1,M30="SÍ"),"APROBADO","REVISAR")</x:f>
        <x:v>APROBADO</x:v>
      </x:c>
    </x:row>
    <x:row r="31">
      <x:c r="A31" s="45" t="str">
        <x:v>TRM-2026-0027</x:v>
      </x:c>
      <x:c r="B31" s="46" t="n">
        <x:v>46253.001388888886</x:v>
      </x:c>
      <x:c r="C31" s="47" t="str">
        <x:v>Cliente Cobre</x:v>
      </x:c>
      <x:c r="D31" s="47" t="str">
        <x:v>****3062</x:v>
      </x:c>
      <x:c r="E31" s="47" t="str">
        <x:v>Actualización de datos</x:v>
      </x:c>
      <x:c r="F31" s="47" t="str">
        <x:v>Comprobante domicilio</x:v>
      </x:c>
      <x:c r="G31" s="48" t="n">
        <x:v>4998</x:v>
      </x:c>
      <x:c r="H31" s="47" t="str">
        <x:v>Completo</x:v>
      </x:c>
      <x:c r="I31" s="47" t="n">
        <x:v>6</x:v>
      </x:c>
      <x:c r="J31" s="47" t="str">
        <x:f>IF(COUNTIF($A$5:$A$52,A31)&gt;1,"REVISAR","ÚNICO")</x:f>
        <x:v>ÚNICO</x:v>
      </x:c>
      <x:c r="K31" s="47" t="str">
        <x:f>IF(AND(A31&lt;&gt;"",B31&lt;&gt;"",C31&lt;&gt;"",D31&lt;&gt;"",E31&lt;&gt;"",F31&lt;&gt;"",H31&lt;&gt;""),"COMPLETO","INCOMPLETO")</x:f>
        <x:v>COMPLETO</x:v>
      </x:c>
      <x:c r="L31" s="47" t="n">
        <x:f>IF(E31="Alta de cliente",'Catalogos'!$B$4,IF(E31="Actualización de datos",'Catalogos'!$B$5,IF(E31="Aclaración",'Catalogos'!$B$6,IF(E31="Transferencia",'Catalogos'!$B$7,'Catalogos'!$B$8))))</x:f>
        <x:v>8</x:v>
      </x:c>
      <x:c r="M31" s="47" t="str">
        <x:f>IF(I31&lt;=L31,"SÍ","NO")</x:f>
        <x:v>SÍ</x:v>
      </x:c>
      <x:c r="N31" s="49" t="n">
        <x:f>IF(AND(H31="Completo",J31="ÚNICO",K31="COMPLETO"),1,0)</x:f>
        <x:v>1</x:v>
      </x:c>
      <x:c r="O31" s="50" t="str">
        <x:f>IF(AND(N31=1,M31="SÍ"),"APROBADO","REVISAR")</x:f>
        <x:v>APROBADO</x:v>
      </x:c>
    </x:row>
    <x:row r="32">
      <x:c r="A32" s="45" t="str">
        <x:v>TRM-2026-0028</x:v>
      </x:c>
      <x:c r="B32" s="46" t="n">
        <x:v>46253.00625</x:v>
      </x:c>
      <x:c r="C32" s="47" t="str">
        <x:v>Cliente Delta</x:v>
      </x:c>
      <x:c r="D32" s="47" t="str">
        <x:v>****3099</x:v>
      </x:c>
      <x:c r="E32" s="47" t="str">
        <x:v>Aclaración</x:v>
      </x:c>
      <x:c r="F32" s="47" t="str">
        <x:v>Formato interno</x:v>
      </x:c>
      <x:c r="G32" s="48" t="n">
        <x:v>5171</x:v>
      </x:c>
      <x:c r="H32" s="47" t="str">
        <x:v>Completo</x:v>
      </x:c>
      <x:c r="I32" s="47" t="n">
        <x:v>15</x:v>
      </x:c>
      <x:c r="J32" s="47" t="str">
        <x:f>IF(COUNTIF($A$5:$A$52,A32)&gt;1,"REVISAR","ÚNICO")</x:f>
        <x:v>ÚNICO</x:v>
      </x:c>
      <x:c r="K32" s="47" t="str">
        <x:f>IF(AND(A32&lt;&gt;"",B32&lt;&gt;"",C32&lt;&gt;"",D32&lt;&gt;"",E32&lt;&gt;"",F32&lt;&gt;"",H32&lt;&gt;""),"COMPLETO","INCOMPLETO")</x:f>
        <x:v>COMPLETO</x:v>
      </x:c>
      <x:c r="L32" s="47" t="n">
        <x:f>IF(E32="Alta de cliente",'Catalogos'!$B$4,IF(E32="Actualización de datos",'Catalogos'!$B$5,IF(E32="Aclaración",'Catalogos'!$B$6,IF(E32="Transferencia",'Catalogos'!$B$7,'Catalogos'!$B$8))))</x:f>
        <x:v>15</x:v>
      </x:c>
      <x:c r="M32" s="47" t="str">
        <x:f>IF(I32&lt;=L32,"SÍ","NO")</x:f>
        <x:v>SÍ</x:v>
      </x:c>
      <x:c r="N32" s="49" t="n">
        <x:f>IF(AND(H32="Completo",J32="ÚNICO",K32="COMPLETO"),1,0)</x:f>
        <x:v>1</x:v>
      </x:c>
      <x:c r="O32" s="50" t="str">
        <x:f>IF(AND(N32=1,M32="SÍ"),"APROBADO","REVISAR")</x:f>
        <x:v>APROBADO</x:v>
      </x:c>
    </x:row>
    <x:row r="33">
      <x:c r="A33" s="45" t="str">
        <x:v>TRM-2026-0029</x:v>
      </x:c>
      <x:c r="B33" s="46" t="n">
        <x:v>46253.01111111111</x:v>
      </x:c>
      <x:c r="C33" s="47" t="str">
        <x:v>Cliente Ébano</x:v>
      </x:c>
      <x:c r="D33" s="47" t="str">
        <x:v>****3136</x:v>
      </x:c>
      <x:c r="E33" s="47" t="str">
        <x:v>Transferencia</x:v>
      </x:c>
      <x:c r="F33" s="47" t="str">
        <x:v>INE</x:v>
      </x:c>
      <x:c r="G33" s="48" t="n">
        <x:v>5344</x:v>
      </x:c>
      <x:c r="H33" s="47" t="str">
        <x:v>Completo</x:v>
      </x:c>
      <x:c r="I33" s="47" t="n">
        <x:v>5</x:v>
      </x:c>
      <x:c r="J33" s="47" t="str">
        <x:f>IF(COUNTIF($A$5:$A$52,A33)&gt;1,"REVISAR","ÚNICO")</x:f>
        <x:v>ÚNICO</x:v>
      </x:c>
      <x:c r="K33" s="47" t="str">
        <x:f>IF(AND(A33&lt;&gt;"",B33&lt;&gt;"",C33&lt;&gt;"",D33&lt;&gt;"",E33&lt;&gt;"",F33&lt;&gt;"",H33&lt;&gt;""),"COMPLETO","INCOMPLETO")</x:f>
        <x:v>COMPLETO</x:v>
      </x:c>
      <x:c r="L33" s="47" t="n">
        <x:f>IF(E33="Alta de cliente",'Catalogos'!$B$4,IF(E33="Actualización de datos",'Catalogos'!$B$5,IF(E33="Aclaración",'Catalogos'!$B$6,IF(E33="Transferencia",'Catalogos'!$B$7,'Catalogos'!$B$8))))</x:f>
        <x:v>6</x:v>
      </x:c>
      <x:c r="M33" s="47" t="str">
        <x:f>IF(I33&lt;=L33,"SÍ","NO")</x:f>
        <x:v>SÍ</x:v>
      </x:c>
      <x:c r="N33" s="49" t="n">
        <x:f>IF(AND(H33="Completo",J33="ÚNICO",K33="COMPLETO"),1,0)</x:f>
        <x:v>1</x:v>
      </x:c>
      <x:c r="O33" s="50" t="str">
        <x:f>IF(AND(N33=1,M33="SÍ"),"APROBADO","REVISAR")</x:f>
        <x:v>APROBADO</x:v>
      </x:c>
    </x:row>
    <x:row r="34">
      <x:c r="A34" s="45" t="str">
        <x:v>TRM-2026-0030</x:v>
      </x:c>
      <x:c r="B34" s="46" t="n">
        <x:v>46253.01597222222</x:v>
      </x:c>
      <x:c r="C34" s="47" t="str">
        <x:v>Cliente Faro</x:v>
      </x:c>
      <x:c r="D34" s="47" t="str">
        <x:v>****3173</x:v>
      </x:c>
      <x:c r="E34" s="47" t="str">
        <x:v>Bloqueo preventivo</x:v>
      </x:c>
      <x:c r="F34" s="47" t="str">
        <x:v>Pasaporte</x:v>
      </x:c>
      <x:c r="G34" s="48" t="n">
        <x:v>5517</x:v>
      </x:c>
      <x:c r="H34" s="47" t="str">
        <x:v>Completo</x:v>
      </x:c>
      <x:c r="I34" s="47" t="n">
        <x:v>7</x:v>
      </x:c>
      <x:c r="J34" s="47" t="str">
        <x:f>IF(COUNTIF($A$5:$A$52,A34)&gt;1,"REVISAR","ÚNICO")</x:f>
        <x:v>ÚNICO</x:v>
      </x:c>
      <x:c r="K34" s="47" t="str">
        <x:f>IF(AND(A34&lt;&gt;"",B34&lt;&gt;"",C34&lt;&gt;"",D34&lt;&gt;"",E34&lt;&gt;"",F34&lt;&gt;"",H34&lt;&gt;""),"COMPLETO","INCOMPLETO")</x:f>
        <x:v>COMPLETO</x:v>
      </x:c>
      <x:c r="L34" s="47" t="n">
        <x:f>IF(E34="Alta de cliente",'Catalogos'!$B$4,IF(E34="Actualización de datos",'Catalogos'!$B$5,IF(E34="Aclaración",'Catalogos'!$B$6,IF(E34="Transferencia",'Catalogos'!$B$7,'Catalogos'!$B$8))))</x:f>
        <x:v>5</x:v>
      </x:c>
      <x:c r="M34" s="47" t="str">
        <x:f>IF(I34&lt;=L34,"SÍ","NO")</x:f>
        <x:v>NO</x:v>
      </x:c>
      <x:c r="N34" s="49" t="n">
        <x:f>IF(AND(H34="Completo",J34="ÚNICO",K34="COMPLETO"),1,0)</x:f>
        <x:v>1</x:v>
      </x:c>
      <x:c r="O34" s="50" t="str">
        <x:f>IF(AND(N34=1,M34="SÍ"),"APROBADO","REVISAR")</x:f>
        <x:v>REVISAR</x:v>
      </x:c>
    </x:row>
    <x:row r="35">
      <x:c r="A35" s="45" t="str">
        <x:v>TRM-2026-0031</x:v>
      </x:c>
      <x:c r="B35" s="46" t="n">
        <x:v>46253.020833333336</x:v>
      </x:c>
      <x:c r="C35" s="47" t="str">
        <x:v>Cliente Gema</x:v>
      </x:c>
      <x:c r="D35" s="47" t="str">
        <x:v>****3210</x:v>
      </x:c>
      <x:c r="E35" s="47" t="str">
        <x:v>Alta de cliente</x:v>
      </x:c>
      <x:c r="F35" s="47" t="str">
        <x:v>Comprobante domicilio</x:v>
      </x:c>
      <x:c r="G35" s="48" t="n">
        <x:v>5690</x:v>
      </x:c>
      <x:c r="H35" s="47" t="str">
        <x:v>Completo</x:v>
      </x:c>
      <x:c r="I35" s="47" t="n">
        <x:v>12</x:v>
      </x:c>
      <x:c r="J35" s="47" t="str">
        <x:f>IF(COUNTIF($A$5:$A$52,A35)&gt;1,"REVISAR","ÚNICO")</x:f>
        <x:v>ÚNICO</x:v>
      </x:c>
      <x:c r="K35" s="47" t="str">
        <x:f>IF(AND(A35&lt;&gt;"",B35&lt;&gt;"",C35&lt;&gt;"",D35&lt;&gt;"",E35&lt;&gt;"",F35&lt;&gt;"",H35&lt;&gt;""),"COMPLETO","INCOMPLETO")</x:f>
        <x:v>COMPLETO</x:v>
      </x:c>
      <x:c r="L35" s="47" t="n">
        <x:f>IF(E35="Alta de cliente",'Catalogos'!$B$4,IF(E35="Actualización de datos",'Catalogos'!$B$5,IF(E35="Aclaración",'Catalogos'!$B$6,IF(E35="Transferencia",'Catalogos'!$B$7,'Catalogos'!$B$8))))</x:f>
        <x:v>12</x:v>
      </x:c>
      <x:c r="M35" s="47" t="str">
        <x:f>IF(I35&lt;=L35,"SÍ","NO")</x:f>
        <x:v>SÍ</x:v>
      </x:c>
      <x:c r="N35" s="49" t="n">
        <x:f>IF(AND(H35="Completo",J35="ÚNICO",K35="COMPLETO"),1,0)</x:f>
        <x:v>1</x:v>
      </x:c>
      <x:c r="O35" s="50" t="str">
        <x:f>IF(AND(N35=1,M35="SÍ"),"APROBADO","REVISAR")</x:f>
        <x:v>APROBADO</x:v>
      </x:c>
    </x:row>
    <x:row r="36">
      <x:c r="A36" s="45" t="str">
        <x:v>TRM-2026-0032</x:v>
      </x:c>
      <x:c r="B36" s="46" t="n">
        <x:v>46253.02569444444</x:v>
      </x:c>
      <x:c r="C36" s="47" t="str">
        <x:v>Cliente Horizonte</x:v>
      </x:c>
      <x:c r="D36" s="47" t="str">
        <x:v>****3247</x:v>
      </x:c>
      <x:c r="E36" s="47" t="str">
        <x:v>Actualización de datos</x:v>
      </x:c>
      <x:c r="F36" s="47" t="str">
        <x:v>Formato interno</x:v>
      </x:c>
      <x:c r="G36" s="48" t="n">
        <x:v>5863</x:v>
      </x:c>
      <x:c r="H36" s="47" t="str">
        <x:v>Completo</x:v>
      </x:c>
      <x:c r="I36" s="47" t="n">
        <x:v>7</x:v>
      </x:c>
      <x:c r="J36" s="47" t="str">
        <x:f>IF(COUNTIF($A$5:$A$52,A36)&gt;1,"REVISAR","ÚNICO")</x:f>
        <x:v>ÚNICO</x:v>
      </x:c>
      <x:c r="K36" s="47" t="str">
        <x:f>IF(AND(A36&lt;&gt;"",B36&lt;&gt;"",C36&lt;&gt;"",D36&lt;&gt;"",E36&lt;&gt;"",F36&lt;&gt;"",H36&lt;&gt;""),"COMPLETO","INCOMPLETO")</x:f>
        <x:v>COMPLETO</x:v>
      </x:c>
      <x:c r="L36" s="47" t="n">
        <x:f>IF(E36="Alta de cliente",'Catalogos'!$B$4,IF(E36="Actualización de datos",'Catalogos'!$B$5,IF(E36="Aclaración",'Catalogos'!$B$6,IF(E36="Transferencia",'Catalogos'!$B$7,'Catalogos'!$B$8))))</x:f>
        <x:v>8</x:v>
      </x:c>
      <x:c r="M36" s="47" t="str">
        <x:f>IF(I36&lt;=L36,"SÍ","NO")</x:f>
        <x:v>SÍ</x:v>
      </x:c>
      <x:c r="N36" s="49" t="n">
        <x:f>IF(AND(H36="Completo",J36="ÚNICO",K36="COMPLETO"),1,0)</x:f>
        <x:v>1</x:v>
      </x:c>
      <x:c r="O36" s="50" t="str">
        <x:f>IF(AND(N36=1,M36="SÍ"),"APROBADO","REVISAR")</x:f>
        <x:v>APROBADO</x:v>
      </x:c>
    </x:row>
    <x:row r="37">
      <x:c r="A37" s="45" t="str">
        <x:v>TRM-2026-0033</x:v>
      </x:c>
      <x:c r="B37" s="46" t="n">
        <x:v>46254.03055555555</x:v>
      </x:c>
      <x:c r="C37" s="47" t="str">
        <x:v>Cliente Alfa</x:v>
      </x:c>
      <x:c r="D37" s="47" t="str">
        <x:v>****3284</x:v>
      </x:c>
      <x:c r="E37" s="47" t="str">
        <x:v>Aclaración</x:v>
      </x:c>
      <x:c r="F37" s="47" t="str">
        <x:v>INE</x:v>
      </x:c>
      <x:c r="G37" s="48" t="n">
        <x:v>6036</x:v>
      </x:c>
      <x:c r="H37" s="47" t="str">
        <x:v>Completo</x:v>
      </x:c>
      <x:c r="I37" s="47" t="n">
        <x:v>13</x:v>
      </x:c>
      <x:c r="J37" s="47" t="str">
        <x:f>IF(COUNTIF($A$5:$A$52,A37)&gt;1,"REVISAR","ÚNICO")</x:f>
        <x:v>ÚNICO</x:v>
      </x:c>
      <x:c r="K37" s="47" t="str">
        <x:f>IF(AND(A37&lt;&gt;"",B37&lt;&gt;"",C37&lt;&gt;"",D37&lt;&gt;"",E37&lt;&gt;"",F37&lt;&gt;"",H37&lt;&gt;""),"COMPLETO","INCOMPLETO")</x:f>
        <x:v>COMPLETO</x:v>
      </x:c>
      <x:c r="L37" s="47" t="n">
        <x:f>IF(E37="Alta de cliente",'Catalogos'!$B$4,IF(E37="Actualización de datos",'Catalogos'!$B$5,IF(E37="Aclaración",'Catalogos'!$B$6,IF(E37="Transferencia",'Catalogos'!$B$7,'Catalogos'!$B$8))))</x:f>
        <x:v>15</x:v>
      </x:c>
      <x:c r="M37" s="47" t="str">
        <x:f>IF(I37&lt;=L37,"SÍ","NO")</x:f>
        <x:v>SÍ</x:v>
      </x:c>
      <x:c r="N37" s="49" t="n">
        <x:f>IF(AND(H37="Completo",J37="ÚNICO",K37="COMPLETO"),1,0)</x:f>
        <x:v>1</x:v>
      </x:c>
      <x:c r="O37" s="50" t="str">
        <x:f>IF(AND(N37=1,M37="SÍ"),"APROBADO","REVISAR")</x:f>
        <x:v>APROBADO</x:v>
      </x:c>
    </x:row>
    <x:row r="38">
      <x:c r="A38" s="45" t="str">
        <x:v>TRM-2026-0034</x:v>
      </x:c>
      <x:c r="B38" s="46" t="n">
        <x:v>46254.035416666666</x:v>
      </x:c>
      <x:c r="C38" s="47" t="str">
        <x:v>Cliente Bravo</x:v>
      </x:c>
      <x:c r="D38" s="47" t="str">
        <x:v>****3321</x:v>
      </x:c>
      <x:c r="E38" s="47" t="str">
        <x:v>Transferencia</x:v>
      </x:c>
      <x:c r="F38" s="47" t="str">
        <x:v>Pasaporte</x:v>
      </x:c>
      <x:c r="G38" s="48" t="n">
        <x:v>6209</x:v>
      </x:c>
      <x:c r="H38" s="47" t="str">
        <x:v>Completo</x:v>
      </x:c>
      <x:c r="I38" s="47" t="n">
        <x:v>6</x:v>
      </x:c>
      <x:c r="J38" s="47" t="str">
        <x:f>IF(COUNTIF($A$5:$A$52,A38)&gt;1,"REVISAR","ÚNICO")</x:f>
        <x:v>ÚNICO</x:v>
      </x:c>
      <x:c r="K38" s="47" t="str">
        <x:f>IF(AND(A38&lt;&gt;"",B38&lt;&gt;"",C38&lt;&gt;"",D38&lt;&gt;"",E38&lt;&gt;"",F38&lt;&gt;"",H38&lt;&gt;""),"COMPLETO","INCOMPLETO")</x:f>
        <x:v>COMPLETO</x:v>
      </x:c>
      <x:c r="L38" s="47" t="n">
        <x:f>IF(E38="Alta de cliente",'Catalogos'!$B$4,IF(E38="Actualización de datos",'Catalogos'!$B$5,IF(E38="Aclaración",'Catalogos'!$B$6,IF(E38="Transferencia",'Catalogos'!$B$7,'Catalogos'!$B$8))))</x:f>
        <x:v>6</x:v>
      </x:c>
      <x:c r="M38" s="47" t="str">
        <x:f>IF(I38&lt;=L38,"SÍ","NO")</x:f>
        <x:v>SÍ</x:v>
      </x:c>
      <x:c r="N38" s="49" t="n">
        <x:f>IF(AND(H38="Completo",J38="ÚNICO",K38="COMPLETO"),1,0)</x:f>
        <x:v>1</x:v>
      </x:c>
      <x:c r="O38" s="50" t="str">
        <x:f>IF(AND(N38=1,M38="SÍ"),"APROBADO","REVISAR")</x:f>
        <x:v>APROBADO</x:v>
      </x:c>
    </x:row>
    <x:row r="39">
      <x:c r="A39" s="45" t="str">
        <x:v>TRM-2026-0035</x:v>
      </x:c>
      <x:c r="B39" s="46" t="n">
        <x:v>46254.04027777778</x:v>
      </x:c>
      <x:c r="C39" s="47" t="str">
        <x:v>Cliente Cobre</x:v>
      </x:c>
      <x:c r="D39" s="47" t="str">
        <x:v>****3358</x:v>
      </x:c>
      <x:c r="E39" s="47" t="str">
        <x:v>Bloqueo preventivo</x:v>
      </x:c>
      <x:c r="F39" s="47" t="str">
        <x:v>Comprobante domicilio</x:v>
      </x:c>
      <x:c r="G39" s="48" t="n">
        <x:v>6382</x:v>
      </x:c>
      <x:c r="H39" s="47" t="str">
        <x:v>Completo</x:v>
      </x:c>
      <x:c r="I39" s="47" t="n">
        <x:v>4</x:v>
      </x:c>
      <x:c r="J39" s="47" t="str">
        <x:f>IF(COUNTIF($A$5:$A$52,A39)&gt;1,"REVISAR","ÚNICO")</x:f>
        <x:v>ÚNICO</x:v>
      </x:c>
      <x:c r="K39" s="47" t="str">
        <x:f>IF(AND(A39&lt;&gt;"",B39&lt;&gt;"",C39&lt;&gt;"",D39&lt;&gt;"",E39&lt;&gt;"",F39&lt;&gt;"",H39&lt;&gt;""),"COMPLETO","INCOMPLETO")</x:f>
        <x:v>COMPLETO</x:v>
      </x:c>
      <x:c r="L39" s="47" t="n">
        <x:f>IF(E39="Alta de cliente",'Catalogos'!$B$4,IF(E39="Actualización de datos",'Catalogos'!$B$5,IF(E39="Aclaración",'Catalogos'!$B$6,IF(E39="Transferencia",'Catalogos'!$B$7,'Catalogos'!$B$8))))</x:f>
        <x:v>5</x:v>
      </x:c>
      <x:c r="M39" s="47" t="str">
        <x:f>IF(I39&lt;=L39,"SÍ","NO")</x:f>
        <x:v>SÍ</x:v>
      </x:c>
      <x:c r="N39" s="49" t="n">
        <x:f>IF(AND(H39="Completo",J39="ÚNICO",K39="COMPLETO"),1,0)</x:f>
        <x:v>1</x:v>
      </x:c>
      <x:c r="O39" s="50" t="str">
        <x:f>IF(AND(N39=1,M39="SÍ"),"APROBADO","REVISAR")</x:f>
        <x:v>APROBADO</x:v>
      </x:c>
    </x:row>
    <x:row r="40">
      <x:c r="A40" s="45" t="str">
        <x:v>TRM-2026-0036</x:v>
      </x:c>
      <x:c r="B40" s="46" t="n">
        <x:v>46254.00347222222</x:v>
      </x:c>
      <x:c r="C40" s="47" t="str">
        <x:v>Cliente Delta</x:v>
      </x:c>
      <x:c r="D40" s="47" t="str">
        <x:v>****3395</x:v>
      </x:c>
      <x:c r="E40" s="47" t="str">
        <x:v>Alta de cliente</x:v>
      </x:c>
      <x:c r="F40" s="47" t="str">
        <x:v>Formato interno</x:v>
      </x:c>
      <x:c r="G40" s="48" t="n">
        <x:v>6555</x:v>
      </x:c>
      <x:c r="H40" s="47" t="str">
        <x:v>Completo</x:v>
      </x:c>
      <x:c r="I40" s="47" t="n">
        <x:v>10</x:v>
      </x:c>
      <x:c r="J40" s="47" t="str">
        <x:f>IF(COUNTIF($A$5:$A$52,A40)&gt;1,"REVISAR","ÚNICO")</x:f>
        <x:v>ÚNICO</x:v>
      </x:c>
      <x:c r="K40" s="47" t="str">
        <x:f>IF(AND(A40&lt;&gt;"",B40&lt;&gt;"",C40&lt;&gt;"",D40&lt;&gt;"",E40&lt;&gt;"",F40&lt;&gt;"",H40&lt;&gt;""),"COMPLETO","INCOMPLETO")</x:f>
        <x:v>COMPLETO</x:v>
      </x:c>
      <x:c r="L40" s="47" t="n">
        <x:f>IF(E40="Alta de cliente",'Catalogos'!$B$4,IF(E40="Actualización de datos",'Catalogos'!$B$5,IF(E40="Aclaración",'Catalogos'!$B$6,IF(E40="Transferencia",'Catalogos'!$B$7,'Catalogos'!$B$8))))</x:f>
        <x:v>12</x:v>
      </x:c>
      <x:c r="M40" s="47" t="str">
        <x:f>IF(I40&lt;=L40,"SÍ","NO")</x:f>
        <x:v>SÍ</x:v>
      </x:c>
      <x:c r="N40" s="49" t="n">
        <x:f>IF(AND(H40="Completo",J40="ÚNICO",K40="COMPLETO"),1,0)</x:f>
        <x:v>1</x:v>
      </x:c>
      <x:c r="O40" s="50" t="str">
        <x:f>IF(AND(N40=1,M40="SÍ"),"APROBADO","REVISAR")</x:f>
        <x:v>APROBADO</x:v>
      </x:c>
    </x:row>
    <x:row r="41">
      <x:c r="A41" s="45" t="str">
        <x:v>TRM-2026-0037</x:v>
      </x:c>
      <x:c r="B41" s="46" t="n">
        <x:v>46254.00833333333</x:v>
      </x:c>
      <x:c r="C41" s="47" t="str">
        <x:v>Cliente Ébano</x:v>
      </x:c>
      <x:c r="D41" s="47" t="str">
        <x:v>****3432</x:v>
      </x:c>
      <x:c r="E41" s="47" t="str">
        <x:v>Actualización de datos</x:v>
      </x:c>
      <x:c r="F41" s="47" t="str">
        <x:v>INE</x:v>
      </x:c>
      <x:c r="G41" s="48" t="n">
        <x:v>6728</x:v>
      </x:c>
      <x:c r="H41" s="47" t="str">
        <x:v>Completo</x:v>
      </x:c>
      <x:c r="I41" s="47" t="n">
        <x:v>8</x:v>
      </x:c>
      <x:c r="J41" s="47" t="str">
        <x:f>IF(COUNTIF($A$5:$A$52,A41)&gt;1,"REVISAR","ÚNICO")</x:f>
        <x:v>ÚNICO</x:v>
      </x:c>
      <x:c r="K41" s="47" t="str">
        <x:f>IF(AND(A41&lt;&gt;"",B41&lt;&gt;"",C41&lt;&gt;"",D41&lt;&gt;"",E41&lt;&gt;"",F41&lt;&gt;"",H41&lt;&gt;""),"COMPLETO","INCOMPLETO")</x:f>
        <x:v>COMPLETO</x:v>
      </x:c>
      <x:c r="L41" s="47" t="n">
        <x:f>IF(E41="Alta de cliente",'Catalogos'!$B$4,IF(E41="Actualización de datos",'Catalogos'!$B$5,IF(E41="Aclaración",'Catalogos'!$B$6,IF(E41="Transferencia",'Catalogos'!$B$7,'Catalogos'!$B$8))))</x:f>
        <x:v>8</x:v>
      </x:c>
      <x:c r="M41" s="47" t="str">
        <x:f>IF(I41&lt;=L41,"SÍ","NO")</x:f>
        <x:v>SÍ</x:v>
      </x:c>
      <x:c r="N41" s="49" t="n">
        <x:f>IF(AND(H41="Completo",J41="ÚNICO",K41="COMPLETO"),1,0)</x:f>
        <x:v>1</x:v>
      </x:c>
      <x:c r="O41" s="50" t="str">
        <x:f>IF(AND(N41=1,M41="SÍ"),"APROBADO","REVISAR")</x:f>
        <x:v>APROBADO</x:v>
      </x:c>
    </x:row>
    <x:row r="42">
      <x:c r="A42" s="45" t="str">
        <x:v>TRM-2026-0038</x:v>
      </x:c>
      <x:c r="B42" s="46" t="n">
        <x:v>46254.013194444444</x:v>
      </x:c>
      <x:c r="C42" s="47" t="str">
        <x:v>Cliente Faro</x:v>
      </x:c>
      <x:c r="D42" s="47" t="str">
        <x:v>****3469</x:v>
      </x:c>
      <x:c r="E42" s="47" t="str">
        <x:v>Aclaración</x:v>
      </x:c>
      <x:c r="F42" s="47" t="str">
        <x:v>Pasaporte</x:v>
      </x:c>
      <x:c r="G42" s="48" t="n">
        <x:v>6901</x:v>
      </x:c>
      <x:c r="H42" s="47" t="str">
        <x:v>Completo</x:v>
      </x:c>
      <x:c r="I42" s="47" t="n">
        <x:v>14</x:v>
      </x:c>
      <x:c r="J42" s="47" t="str">
        <x:f>IF(COUNTIF($A$5:$A$52,A42)&gt;1,"REVISAR","ÚNICO")</x:f>
        <x:v>ÚNICO</x:v>
      </x:c>
      <x:c r="K42" s="47" t="str">
        <x:f>IF(AND(A42&lt;&gt;"",B42&lt;&gt;"",C42&lt;&gt;"",D42&lt;&gt;"",E42&lt;&gt;"",F42&lt;&gt;"",H42&lt;&gt;""),"COMPLETO","INCOMPLETO")</x:f>
        <x:v>COMPLETO</x:v>
      </x:c>
      <x:c r="L42" s="47" t="n">
        <x:f>IF(E42="Alta de cliente",'Catalogos'!$B$4,IF(E42="Actualización de datos",'Catalogos'!$B$5,IF(E42="Aclaración",'Catalogos'!$B$6,IF(E42="Transferencia",'Catalogos'!$B$7,'Catalogos'!$B$8))))</x:f>
        <x:v>15</x:v>
      </x:c>
      <x:c r="M42" s="47" t="str">
        <x:f>IF(I42&lt;=L42,"SÍ","NO")</x:f>
        <x:v>SÍ</x:v>
      </x:c>
      <x:c r="N42" s="49" t="n">
        <x:f>IF(AND(H42="Completo",J42="ÚNICO",K42="COMPLETO"),1,0)</x:f>
        <x:v>1</x:v>
      </x:c>
      <x:c r="O42" s="50" t="str">
        <x:f>IF(AND(N42=1,M42="SÍ"),"APROBADO","REVISAR")</x:f>
        <x:v>APROBADO</x:v>
      </x:c>
    </x:row>
    <x:row r="43">
      <x:c r="A43" s="45" t="str">
        <x:v>TRM-2026-0039</x:v>
      </x:c>
      <x:c r="B43" s="46" t="n">
        <x:v>46254.018055555556</x:v>
      </x:c>
      <x:c r="C43" s="47" t="str">
        <x:v>Cliente Gema</x:v>
      </x:c>
      <x:c r="D43" s="47" t="str">
        <x:v>****3506</x:v>
      </x:c>
      <x:c r="E43" s="47" t="str">
        <x:v>Transferencia</x:v>
      </x:c>
      <x:c r="F43" s="47" t="str">
        <x:v>Comprobante domicilio</x:v>
      </x:c>
      <x:c r="G43" s="48" t="n">
        <x:v>7074</x:v>
      </x:c>
      <x:c r="H43" s="47" t="str">
        <x:v>Completo</x:v>
      </x:c>
      <x:c r="I43" s="47" t="n">
        <x:v>4</x:v>
      </x:c>
      <x:c r="J43" s="47" t="str">
        <x:f>IF(COUNTIF($A$5:$A$52,A43)&gt;1,"REVISAR","ÚNICO")</x:f>
        <x:v>ÚNICO</x:v>
      </x:c>
      <x:c r="K43" s="47" t="str">
        <x:f>IF(AND(A43&lt;&gt;"",B43&lt;&gt;"",C43&lt;&gt;"",D43&lt;&gt;"",E43&lt;&gt;"",F43&lt;&gt;"",H43&lt;&gt;""),"COMPLETO","INCOMPLETO")</x:f>
        <x:v>COMPLETO</x:v>
      </x:c>
      <x:c r="L43" s="47" t="n">
        <x:f>IF(E43="Alta de cliente",'Catalogos'!$B$4,IF(E43="Actualización de datos",'Catalogos'!$B$5,IF(E43="Aclaración",'Catalogos'!$B$6,IF(E43="Transferencia",'Catalogos'!$B$7,'Catalogos'!$B$8))))</x:f>
        <x:v>6</x:v>
      </x:c>
      <x:c r="M43" s="47" t="str">
        <x:f>IF(I43&lt;=L43,"SÍ","NO")</x:f>
        <x:v>SÍ</x:v>
      </x:c>
      <x:c r="N43" s="49" t="n">
        <x:f>IF(AND(H43="Completo",J43="ÚNICO",K43="COMPLETO"),1,0)</x:f>
        <x:v>1</x:v>
      </x:c>
      <x:c r="O43" s="50" t="str">
        <x:f>IF(AND(N43=1,M43="SÍ"),"APROBADO","REVISAR")</x:f>
        <x:v>APROBADO</x:v>
      </x:c>
    </x:row>
    <x:row r="44">
      <x:c r="A44" s="45" t="str">
        <x:v>TRM-2026-0040</x:v>
      </x:c>
      <x:c r="B44" s="46" t="n">
        <x:v>46254.02291666667</x:v>
      </x:c>
      <x:c r="C44" s="47" t="str">
        <x:v>Cliente Horizonte</x:v>
      </x:c>
      <x:c r="D44" s="47" t="str">
        <x:v>****3543</x:v>
      </x:c>
      <x:c r="E44" s="47" t="str">
        <x:v>Bloqueo preventivo</x:v>
      </x:c>
      <x:c r="F44" s="47" t="str">
        <x:v>Formato interno</x:v>
      </x:c>
      <x:c r="G44" s="48" t="n">
        <x:v>7247</x:v>
      </x:c>
      <x:c r="H44" s="47" t="str">
        <x:v>No legible</x:v>
      </x:c>
      <x:c r="I44" s="47" t="n">
        <x:v>5</x:v>
      </x:c>
      <x:c r="J44" s="47" t="str">
        <x:f>IF(COUNTIF($A$5:$A$52,A44)&gt;1,"REVISAR","ÚNICO")</x:f>
        <x:v>ÚNICO</x:v>
      </x:c>
      <x:c r="K44" s="47" t="str">
        <x:f>IF(AND(A44&lt;&gt;"",B44&lt;&gt;"",C44&lt;&gt;"",D44&lt;&gt;"",E44&lt;&gt;"",F44&lt;&gt;"",H44&lt;&gt;""),"COMPLETO","INCOMPLETO")</x:f>
        <x:v>COMPLETO</x:v>
      </x:c>
      <x:c r="L44" s="47" t="n">
        <x:f>IF(E44="Alta de cliente",'Catalogos'!$B$4,IF(E44="Actualización de datos",'Catalogos'!$B$5,IF(E44="Aclaración",'Catalogos'!$B$6,IF(E44="Transferencia",'Catalogos'!$B$7,'Catalogos'!$B$8))))</x:f>
        <x:v>5</x:v>
      </x:c>
      <x:c r="M44" s="47" t="str">
        <x:f>IF(I44&lt;=L44,"SÍ","NO")</x:f>
        <x:v>SÍ</x:v>
      </x:c>
      <x:c r="N44" s="49" t="n">
        <x:f>IF(AND(H44="Completo",J44="ÚNICO",K44="COMPLETO"),1,0)</x:f>
        <x:v>0</x:v>
      </x:c>
      <x:c r="O44" s="50" t="str">
        <x:f>IF(AND(N44=1,M44="SÍ"),"APROBADO","REVISAR")</x:f>
        <x:v>REVISAR</x:v>
      </x:c>
    </x:row>
    <x:row r="45">
      <x:c r="A45" s="45" t="str">
        <x:v>TRM-2026-0041</x:v>
      </x:c>
      <x:c r="B45" s="46" t="n">
        <x:v>46254.02777777778</x:v>
      </x:c>
      <x:c r="C45" s="47" t="str">
        <x:v>Cliente Alfa</x:v>
      </x:c>
      <x:c r="D45" s="47" t="str">
        <x:v>****3580</x:v>
      </x:c>
      <x:c r="E45" s="47" t="str">
        <x:v>Alta de cliente</x:v>
      </x:c>
      <x:c r="F45" s="47" t="str">
        <x:v>INE</x:v>
      </x:c>
      <x:c r="G45" s="48" t="n">
        <x:v>7420</x:v>
      </x:c>
      <x:c r="H45" s="47" t="str">
        <x:v>Completo</x:v>
      </x:c>
      <x:c r="I45" s="47" t="n">
        <x:v>11</x:v>
      </x:c>
      <x:c r="J45" s="47" t="str">
        <x:f>IF(COUNTIF($A$5:$A$52,A45)&gt;1,"REVISAR","ÚNICO")</x:f>
        <x:v>ÚNICO</x:v>
      </x:c>
      <x:c r="K45" s="47" t="str">
        <x:f>IF(AND(A45&lt;&gt;"",B45&lt;&gt;"",C45&lt;&gt;"",D45&lt;&gt;"",E45&lt;&gt;"",F45&lt;&gt;"",H45&lt;&gt;""),"COMPLETO","INCOMPLETO")</x:f>
        <x:v>COMPLETO</x:v>
      </x:c>
      <x:c r="L45" s="47" t="n">
        <x:f>IF(E45="Alta de cliente",'Catalogos'!$B$4,IF(E45="Actualización de datos",'Catalogos'!$B$5,IF(E45="Aclaración",'Catalogos'!$B$6,IF(E45="Transferencia",'Catalogos'!$B$7,'Catalogos'!$B$8))))</x:f>
        <x:v>12</x:v>
      </x:c>
      <x:c r="M45" s="47" t="str">
        <x:f>IF(I45&lt;=L45,"SÍ","NO")</x:f>
        <x:v>SÍ</x:v>
      </x:c>
      <x:c r="N45" s="49" t="n">
        <x:f>IF(AND(H45="Completo",J45="ÚNICO",K45="COMPLETO"),1,0)</x:f>
        <x:v>1</x:v>
      </x:c>
      <x:c r="O45" s="50" t="str">
        <x:f>IF(AND(N45=1,M45="SÍ"),"APROBADO","REVISAR")</x:f>
        <x:v>APROBADO</x:v>
      </x:c>
    </x:row>
    <x:row r="46">
      <x:c r="A46" s="45" t="str">
        <x:v>TRM-2026-0042</x:v>
      </x:c>
      <x:c r="B46" s="46" t="n">
        <x:v>46254.032638888886</x:v>
      </x:c>
      <x:c r="C46" s="47" t="str">
        <x:v>Cliente Bravo</x:v>
      </x:c>
      <x:c r="D46" s="47" t="str">
        <x:v>****3617</x:v>
      </x:c>
      <x:c r="E46" s="47" t="str">
        <x:v>Actualización de datos</x:v>
      </x:c>
      <x:c r="F46" s="47" t="str">
        <x:v>Pasaporte</x:v>
      </x:c>
      <x:c r="G46" s="48" t="n">
        <x:v>7593</x:v>
      </x:c>
      <x:c r="H46" s="47" t="str">
        <x:v>Completo</x:v>
      </x:c>
      <x:c r="I46" s="47" t="n">
        <x:v>6</x:v>
      </x:c>
      <x:c r="J46" s="47" t="str">
        <x:f>IF(COUNTIF($A$5:$A$52,A46)&gt;1,"REVISAR","ÚNICO")</x:f>
        <x:v>ÚNICO</x:v>
      </x:c>
      <x:c r="K46" s="47" t="str">
        <x:f>IF(AND(A46&lt;&gt;"",B46&lt;&gt;"",C46&lt;&gt;"",D46&lt;&gt;"",E46&lt;&gt;"",F46&lt;&gt;"",H46&lt;&gt;""),"COMPLETO","INCOMPLETO")</x:f>
        <x:v>COMPLETO</x:v>
      </x:c>
      <x:c r="L46" s="47" t="n">
        <x:f>IF(E46="Alta de cliente",'Catalogos'!$B$4,IF(E46="Actualización de datos",'Catalogos'!$B$5,IF(E46="Aclaración",'Catalogos'!$B$6,IF(E46="Transferencia",'Catalogos'!$B$7,'Catalogos'!$B$8))))</x:f>
        <x:v>8</x:v>
      </x:c>
      <x:c r="M46" s="47" t="str">
        <x:f>IF(I46&lt;=L46,"SÍ","NO")</x:f>
        <x:v>SÍ</x:v>
      </x:c>
      <x:c r="N46" s="49" t="n">
        <x:f>IF(AND(H46="Completo",J46="ÚNICO",K46="COMPLETO"),1,0)</x:f>
        <x:v>1</x:v>
      </x:c>
      <x:c r="O46" s="50" t="str">
        <x:f>IF(AND(N46=1,M46="SÍ"),"APROBADO","REVISAR")</x:f>
        <x:v>APROBADO</x:v>
      </x:c>
    </x:row>
    <x:row r="47">
      <x:c r="A47" s="45" t="str">
        <x:v>TRM-2026-0043</x:v>
      </x:c>
      <x:c r="B47" s="46" t="n">
        <x:v>46254.0375</x:v>
      </x:c>
      <x:c r="C47" s="47" t="str">
        <x:v>Cliente Cobre</x:v>
      </x:c>
      <x:c r="D47" s="47" t="str">
        <x:v>****3654</x:v>
      </x:c>
      <x:c r="E47" s="47" t="str">
        <x:v>Aclaración</x:v>
      </x:c>
      <x:c r="F47" s="47" t="str">
        <x:v>Comprobante domicilio</x:v>
      </x:c>
      <x:c r="G47" s="48" t="n">
        <x:v>7766</x:v>
      </x:c>
      <x:c r="H47" s="47" t="str">
        <x:v>Completo</x:v>
      </x:c>
      <x:c r="I47" s="47" t="n">
        <x:v>15</x:v>
      </x:c>
      <x:c r="J47" s="47" t="str">
        <x:f>IF(COUNTIF($A$5:$A$52,A47)&gt;1,"REVISAR","ÚNICO")</x:f>
        <x:v>ÚNICO</x:v>
      </x:c>
      <x:c r="K47" s="47" t="str">
        <x:f>IF(AND(A47&lt;&gt;"",B47&lt;&gt;"",C47&lt;&gt;"",D47&lt;&gt;"",E47&lt;&gt;"",F47&lt;&gt;"",H47&lt;&gt;""),"COMPLETO","INCOMPLETO")</x:f>
        <x:v>COMPLETO</x:v>
      </x:c>
      <x:c r="L47" s="47" t="n">
        <x:f>IF(E47="Alta de cliente",'Catalogos'!$B$4,IF(E47="Actualización de datos",'Catalogos'!$B$5,IF(E47="Aclaración",'Catalogos'!$B$6,IF(E47="Transferencia",'Catalogos'!$B$7,'Catalogos'!$B$8))))</x:f>
        <x:v>15</x:v>
      </x:c>
      <x:c r="M47" s="47" t="str">
        <x:f>IF(I47&lt;=L47,"SÍ","NO")</x:f>
        <x:v>SÍ</x:v>
      </x:c>
      <x:c r="N47" s="49" t="n">
        <x:f>IF(AND(H47="Completo",J47="ÚNICO",K47="COMPLETO"),1,0)</x:f>
        <x:v>1</x:v>
      </x:c>
      <x:c r="O47" s="50" t="str">
        <x:f>IF(AND(N47=1,M47="SÍ"),"APROBADO","REVISAR")</x:f>
        <x:v>APROBADO</x:v>
      </x:c>
    </x:row>
    <x:row r="48">
      <x:c r="A48" s="45" t="str">
        <x:v>TRM-2026-0044</x:v>
      </x:c>
      <x:c r="B48" s="46" t="n">
        <x:v>46254.00069444445</x:v>
      </x:c>
      <x:c r="C48" s="47" t="str">
        <x:v>Cliente Delta</x:v>
      </x:c>
      <x:c r="D48" s="47" t="str">
        <x:v>****3691</x:v>
      </x:c>
      <x:c r="E48" s="47" t="str">
        <x:v>Transferencia</x:v>
      </x:c>
      <x:c r="F48" s="47" t="str">
        <x:v>Formato interno</x:v>
      </x:c>
      <x:c r="G48" s="48" t="n">
        <x:v>7939</x:v>
      </x:c>
      <x:c r="H48" s="47" t="str">
        <x:v>Completo</x:v>
      </x:c>
      <x:c r="I48" s="47" t="n">
        <x:v>5</x:v>
      </x:c>
      <x:c r="J48" s="47" t="str">
        <x:f>IF(COUNTIF($A$5:$A$52,A48)&gt;1,"REVISAR","ÚNICO")</x:f>
        <x:v>ÚNICO</x:v>
      </x:c>
      <x:c r="K48" s="47" t="str">
        <x:f>IF(AND(A48&lt;&gt;"",B48&lt;&gt;"",C48&lt;&gt;"",D48&lt;&gt;"",E48&lt;&gt;"",F48&lt;&gt;"",H48&lt;&gt;""),"COMPLETO","INCOMPLETO")</x:f>
        <x:v>COMPLETO</x:v>
      </x:c>
      <x:c r="L48" s="47" t="n">
        <x:f>IF(E48="Alta de cliente",'Catalogos'!$B$4,IF(E48="Actualización de datos",'Catalogos'!$B$5,IF(E48="Aclaración",'Catalogos'!$B$6,IF(E48="Transferencia",'Catalogos'!$B$7,'Catalogos'!$B$8))))</x:f>
        <x:v>6</x:v>
      </x:c>
      <x:c r="M48" s="47" t="str">
        <x:f>IF(I48&lt;=L48,"SÍ","NO")</x:f>
        <x:v>SÍ</x:v>
      </x:c>
      <x:c r="N48" s="49" t="n">
        <x:f>IF(AND(H48="Completo",J48="ÚNICO",K48="COMPLETO"),1,0)</x:f>
        <x:v>1</x:v>
      </x:c>
      <x:c r="O48" s="50" t="str">
        <x:f>IF(AND(N48=1,M48="SÍ"),"APROBADO","REVISAR")</x:f>
        <x:v>APROBADO</x:v>
      </x:c>
    </x:row>
    <x:row r="49">
      <x:c r="A49" s="45" t="str">
        <x:v>TRM-2026-0045</x:v>
      </x:c>
      <x:c r="B49" s="46" t="n">
        <x:v>46254.00555555556</x:v>
      </x:c>
      <x:c r="C49" s="47" t="str">
        <x:v>Cliente Ébano</x:v>
      </x:c>
      <x:c r="D49" s="47" t="str">
        <x:v>****3728</x:v>
      </x:c>
      <x:c r="E49" s="47" t="str">
        <x:v>Bloqueo preventivo</x:v>
      </x:c>
      <x:c r="F49" s="47" t="str">
        <x:v>INE</x:v>
      </x:c>
      <x:c r="G49" s="48" t="n">
        <x:v>8112</x:v>
      </x:c>
      <x:c r="H49" s="47" t="str">
        <x:v>Completo</x:v>
      </x:c>
      <x:c r="I49" s="47" t="n">
        <x:v>3</x:v>
      </x:c>
      <x:c r="J49" s="47" t="str">
        <x:f>IF(COUNTIF($A$5:$A$52,A49)&gt;1,"REVISAR","ÚNICO")</x:f>
        <x:v>ÚNICO</x:v>
      </x:c>
      <x:c r="K49" s="47" t="str">
        <x:f>IF(AND(A49&lt;&gt;"",B49&lt;&gt;"",C49&lt;&gt;"",D49&lt;&gt;"",E49&lt;&gt;"",F49&lt;&gt;"",H49&lt;&gt;""),"COMPLETO","INCOMPLETO")</x:f>
        <x:v>COMPLETO</x:v>
      </x:c>
      <x:c r="L49" s="47" t="n">
        <x:f>IF(E49="Alta de cliente",'Catalogos'!$B$4,IF(E49="Actualización de datos",'Catalogos'!$B$5,IF(E49="Aclaración",'Catalogos'!$B$6,IF(E49="Transferencia",'Catalogos'!$B$7,'Catalogos'!$B$8))))</x:f>
        <x:v>5</x:v>
      </x:c>
      <x:c r="M49" s="47" t="str">
        <x:f>IF(I49&lt;=L49,"SÍ","NO")</x:f>
        <x:v>SÍ</x:v>
      </x:c>
      <x:c r="N49" s="49" t="n">
        <x:f>IF(AND(H49="Completo",J49="ÚNICO",K49="COMPLETO"),1,0)</x:f>
        <x:v>1</x:v>
      </x:c>
      <x:c r="O49" s="50" t="str">
        <x:f>IF(AND(N49=1,M49="SÍ"),"APROBADO","REVISAR")</x:f>
        <x:v>APROBADO</x:v>
      </x:c>
    </x:row>
    <x:row r="50">
      <x:c r="A50" s="45" t="str">
        <x:v>TRM-2026-0046</x:v>
      </x:c>
      <x:c r="B50" s="46" t="n">
        <x:v>46254.010416666664</x:v>
      </x:c>
      <x:c r="C50" s="47" t="str">
        <x:v>Cliente Faro</x:v>
      </x:c>
      <x:c r="D50" s="47" t="str">
        <x:v>****3765</x:v>
      </x:c>
      <x:c r="E50" s="47" t="str">
        <x:v>Alta de cliente</x:v>
      </x:c>
      <x:c r="F50" s="47" t="str">
        <x:v>Pasaporte</x:v>
      </x:c>
      <x:c r="G50" s="48" t="n">
        <x:v>8285</x:v>
      </x:c>
      <x:c r="H50" s="47" t="str">
        <x:v>Completo</x:v>
      </x:c>
      <x:c r="I50" s="47" t="n">
        <x:v>12</x:v>
      </x:c>
      <x:c r="J50" s="47" t="str">
        <x:f>IF(COUNTIF($A$5:$A$52,A50)&gt;1,"REVISAR","ÚNICO")</x:f>
        <x:v>ÚNICO</x:v>
      </x:c>
      <x:c r="K50" s="47" t="str">
        <x:f>IF(AND(A50&lt;&gt;"",B50&lt;&gt;"",C50&lt;&gt;"",D50&lt;&gt;"",E50&lt;&gt;"",F50&lt;&gt;"",H50&lt;&gt;""),"COMPLETO","INCOMPLETO")</x:f>
        <x:v>COMPLETO</x:v>
      </x:c>
      <x:c r="L50" s="47" t="n">
        <x:f>IF(E50="Alta de cliente",'Catalogos'!$B$4,IF(E50="Actualización de datos",'Catalogos'!$B$5,IF(E50="Aclaración",'Catalogos'!$B$6,IF(E50="Transferencia",'Catalogos'!$B$7,'Catalogos'!$B$8))))</x:f>
        <x:v>12</x:v>
      </x:c>
      <x:c r="M50" s="47" t="str">
        <x:f>IF(I50&lt;=L50,"SÍ","NO")</x:f>
        <x:v>SÍ</x:v>
      </x:c>
      <x:c r="N50" s="49" t="n">
        <x:f>IF(AND(H50="Completo",J50="ÚNICO",K50="COMPLETO"),1,0)</x:f>
        <x:v>1</x:v>
      </x:c>
      <x:c r="O50" s="50" t="str">
        <x:f>IF(AND(N50=1,M50="SÍ"),"APROBADO","REVISAR")</x:f>
        <x:v>APROBADO</x:v>
      </x:c>
    </x:row>
    <x:row r="51">
      <x:c r="A51" s="45" t="str">
        <x:v>TRM-2026-0047</x:v>
      </x:c>
      <x:c r="B51" s="46" t="n">
        <x:v>46254.01527777778</x:v>
      </x:c>
      <x:c r="C51" s="47" t="str">
        <x:v>Cliente Gema</x:v>
      </x:c>
      <x:c r="D51" s="47" t="str">
        <x:v>****3802</x:v>
      </x:c>
      <x:c r="E51" s="47" t="str">
        <x:v>Actualización de datos</x:v>
      </x:c>
      <x:c r="F51" s="47" t="str">
        <x:v>Comprobante domicilio</x:v>
      </x:c>
      <x:c r="G51" s="48" t="n">
        <x:v>8458</x:v>
      </x:c>
      <x:c r="H51" s="47" t="str">
        <x:v>Completo</x:v>
      </x:c>
      <x:c r="I51" s="47" t="n">
        <x:v>7</x:v>
      </x:c>
      <x:c r="J51" s="47" t="str">
        <x:f>IF(COUNTIF($A$5:$A$52,A51)&gt;1,"REVISAR","ÚNICO")</x:f>
        <x:v>ÚNICO</x:v>
      </x:c>
      <x:c r="K51" s="47" t="str">
        <x:f>IF(AND(A51&lt;&gt;"",B51&lt;&gt;"",C51&lt;&gt;"",D51&lt;&gt;"",E51&lt;&gt;"",F51&lt;&gt;"",H51&lt;&gt;""),"COMPLETO","INCOMPLETO")</x:f>
        <x:v>COMPLETO</x:v>
      </x:c>
      <x:c r="L51" s="47" t="n">
        <x:f>IF(E51="Alta de cliente",'Catalogos'!$B$4,IF(E51="Actualización de datos",'Catalogos'!$B$5,IF(E51="Aclaración",'Catalogos'!$B$6,IF(E51="Transferencia",'Catalogos'!$B$7,'Catalogos'!$B$8))))</x:f>
        <x:v>8</x:v>
      </x:c>
      <x:c r="M51" s="47" t="str">
        <x:f>IF(I51&lt;=L51,"SÍ","NO")</x:f>
        <x:v>SÍ</x:v>
      </x:c>
      <x:c r="N51" s="49" t="n">
        <x:f>IF(AND(H51="Completo",J51="ÚNICO",K51="COMPLETO"),1,0)</x:f>
        <x:v>1</x:v>
      </x:c>
      <x:c r="O51" s="50" t="str">
        <x:f>IF(AND(N51=1,M51="SÍ"),"APROBADO","REVISAR")</x:f>
        <x:v>APROBADO</x:v>
      </x:c>
    </x:row>
    <x:row r="52">
      <x:c r="A52" s="51" t="str">
        <x:v>TRM-2026-0048</x:v>
      </x:c>
      <x:c r="B52" s="52" t="n">
        <x:v>46254.02013888889</x:v>
      </x:c>
      <x:c r="C52" s="53" t="str">
        <x:v>Cliente Horizonte</x:v>
      </x:c>
      <x:c r="D52" s="53" t="str">
        <x:v>****3839</x:v>
      </x:c>
      <x:c r="E52" s="53" t="str">
        <x:v>Aclaración</x:v>
      </x:c>
      <x:c r="F52" s="53" t="str">
        <x:v>Formato interno</x:v>
      </x:c>
      <x:c r="G52" s="54" t="n">
        <x:v>8631</x:v>
      </x:c>
      <x:c r="H52" s="53" t="str">
        <x:v>Completo</x:v>
      </x:c>
      <x:c r="I52" s="53" t="n">
        <x:v>13</x:v>
      </x:c>
      <x:c r="J52" s="53" t="str">
        <x:f>IF(COUNTIF($A$5:$A$52,A52)&gt;1,"REVISAR","ÚNICO")</x:f>
        <x:v>ÚNICO</x:v>
      </x:c>
      <x:c r="K52" s="53" t="str">
        <x:f>IF(AND(A52&lt;&gt;"",B52&lt;&gt;"",C52&lt;&gt;"",D52&lt;&gt;"",E52&lt;&gt;"",F52&lt;&gt;"",H52&lt;&gt;""),"COMPLETO","INCOMPLETO")</x:f>
        <x:v>COMPLETO</x:v>
      </x:c>
      <x:c r="L52" s="53" t="n">
        <x:f>IF(E52="Alta de cliente",'Catalogos'!$B$4,IF(E52="Actualización de datos",'Catalogos'!$B$5,IF(E52="Aclaración",'Catalogos'!$B$6,IF(E52="Transferencia",'Catalogos'!$B$7,'Catalogos'!$B$8))))</x:f>
        <x:v>15</x:v>
      </x:c>
      <x:c r="M52" s="53" t="str">
        <x:f>IF(I52&lt;=L52,"SÍ","NO")</x:f>
        <x:v>SÍ</x:v>
      </x:c>
      <x:c r="N52" s="55" t="n">
        <x:f>IF(AND(H52="Completo",J52="ÚNICO",K52="COMPLETO"),1,0)</x:f>
        <x:v>1</x:v>
      </x:c>
      <x:c r="O52" s="56" t="str">
        <x:f>IF(AND(N52=1,M52="SÍ"),"APROBADO","REVISAR")</x:f>
        <x:v>APROBADO</x:v>
      </x:c>
    </x:row>
  </x:sheetData>
  <x:mergeCells>
    <x:mergeCell ref="A1:O1"/>
    <x:mergeCell ref="A2:O2"/>
  </x:mergeCells>
  <x:conditionalFormatting sqref="A5:A100">
    <x:cfRule type="duplicateValues" dxfId="0" priority="1"/>
  </x:conditionalFormatting>
  <x:conditionalFormatting sqref="O5:O100">
    <x:cfRule type="containsText" dxfId="1" priority="2" operator="containsText" text="REVISAR"/>
    <x:cfRule type="containsText" dxfId="2" priority="3" operator="containsText" text="APROBADO"/>
  </x:conditionalFormatting>
  <x:conditionalFormatting sqref="M5:M100">
    <x:cfRule type="containsText" dxfId="3" priority="4" operator="containsText" text="NO"/>
  </x:conditionalFormatting>
  <x:dataValidations count="3">
    <x:dataValidation type="list" sqref="E5:E100">
      <x:formula1>Catalogos!$A$4:$A$8</x:formula1>
    </x:dataValidation>
    <x:dataValidation type="list" sqref="F5:F100">
      <x:formula1>Catalogos!$F$4:$F$7</x:formula1>
    </x:dataValidation>
    <x:dataValidation type="list" sqref="H5:H100">
      <x:formula1>Catalogos!$D$4:$D$7</x:formula1>
    </x:dataValidation>
  </x:dataValidations>
  <x:pageMargins left="0.7" right="0.7" top="0.75" bottom="0.75" header="0.3" footer="0.3"/>
  <x:legacyDrawing xmlns:r="http://schemas.openxmlformats.org/officeDocument/2006/relationships" r:id="R63f8f2f64b19404c"/>
  <x:tableParts count="1">
    <x:tablePart xmlns:r="http://schemas.openxmlformats.org/officeDocument/2006/relationships" r:id="Rcdf21e1b6e4048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3" t="str">
        <x:v>CATÁLOGOS Y REGLAS DE CONTROL</x:v>
      </x:c>
      <x:c r="B1" s="3"/>
      <x:c r="C1" s="3"/>
      <x:c r="D1" s="3"/>
      <x:c r="E1" s="3"/>
      <x:c r="F1" s="3"/>
    </x:row>
    <x:row r="3">
      <x:c r="A3" s="7" t="str">
        <x:v>Tipo de trámite</x:v>
      </x:c>
      <x:c r="B3" s="8" t="str">
        <x:v>SLA objetivo (min)</x:v>
      </x:c>
      <x:c r="C3" s="9"/>
      <x:c r="D3" s="8" t="str">
        <x:v>Estatus documental</x:v>
      </x:c>
      <x:c r="E3" s="9"/>
      <x:c r="F3" s="10" t="str">
        <x:v>Tipo de documento</x:v>
      </x:c>
    </x:row>
    <x:row r="4">
      <x:c r="A4" s="11" t="str">
        <x:v>Alta de cliente</x:v>
      </x:c>
      <x:c r="B4" s="12" t="n">
        <x:v>12</x:v>
      </x:c>
      <x:c r="C4" s="12"/>
      <x:c r="D4" s="12" t="str">
        <x:v>Completo</x:v>
      </x:c>
      <x:c r="E4" s="12"/>
      <x:c r="F4" s="13" t="str">
        <x:v>INE</x:v>
      </x:c>
    </x:row>
    <x:row r="5">
      <x:c r="A5" s="11" t="str">
        <x:v>Actualización de datos</x:v>
      </x:c>
      <x:c r="B5" s="12" t="n">
        <x:v>8</x:v>
      </x:c>
      <x:c r="C5" s="12"/>
      <x:c r="D5" s="12" t="str">
        <x:v>Incompleto</x:v>
      </x:c>
      <x:c r="E5" s="12"/>
      <x:c r="F5" s="13" t="str">
        <x:v>Pasaporte</x:v>
      </x:c>
    </x:row>
    <x:row r="6">
      <x:c r="A6" s="11" t="str">
        <x:v>Aclaración</x:v>
      </x:c>
      <x:c r="B6" s="12" t="n">
        <x:v>15</x:v>
      </x:c>
      <x:c r="C6" s="12"/>
      <x:c r="D6" s="12" t="str">
        <x:v>En revisión</x:v>
      </x:c>
      <x:c r="E6" s="12"/>
      <x:c r="F6" s="13" t="str">
        <x:v>Comprobante domicilio</x:v>
      </x:c>
    </x:row>
    <x:row r="7">
      <x:c r="A7" s="11" t="str">
        <x:v>Transferencia</x:v>
      </x:c>
      <x:c r="B7" s="12" t="n">
        <x:v>6</x:v>
      </x:c>
      <x:c r="C7" s="12"/>
      <x:c r="D7" s="12" t="str">
        <x:v>No legible</x:v>
      </x:c>
      <x:c r="E7" s="12"/>
      <x:c r="F7" s="13" t="str">
        <x:v>Formato interno</x:v>
      </x:c>
    </x:row>
    <x:row r="8">
      <x:c r="A8" s="11" t="str">
        <x:v>Bloqueo preventivo</x:v>
      </x:c>
      <x:c r="B8" s="12" t="n">
        <x:v>5</x:v>
      </x:c>
      <x:c r="C8" s="12"/>
      <x:c r="D8" s="12"/>
      <x:c r="E8" s="12"/>
      <x:c r="F8" s="13"/>
    </x:row>
    <x:row r="9">
      <x:c r="A9" s="11"/>
      <x:c r="B9" s="12"/>
      <x:c r="C9" s="12"/>
      <x:c r="D9" s="12"/>
      <x:c r="E9" s="12"/>
      <x:c r="F9" s="13"/>
    </x:row>
    <x:row r="10">
      <x:c r="A10" s="14" t="str">
        <x:v>Regla</x:v>
      </x:c>
      <x:c r="B10" s="15" t="str">
        <x:v>Criterio</x:v>
      </x:c>
      <x:c r="C10" s="15" t="str">
        <x:v>Acción automática</x:v>
      </x:c>
      <x:c r="D10" s="15" t="str">
        <x:v>Campo controlado</x:v>
      </x:c>
      <x:c r="E10" s="15" t="str">
        <x:v>Objetivo</x:v>
      </x:c>
      <x:c r="F10" s="16" t="str">
        <x:v>Nota</x:v>
      </x:c>
    </x:row>
    <x:row r="11">
      <x:c r="A11" s="11" t="str">
        <x:v>Duplicidad</x:v>
      </x:c>
      <x:c r="B11" s="12" t="str">
        <x:v>Folio repetido</x:v>
      </x:c>
      <x:c r="C11" s="12" t="str">
        <x:v>Marcar REVISAR</x:v>
      </x:c>
      <x:c r="D11" s="12" t="str">
        <x:v>Folio</x:v>
      </x:c>
      <x:c r="E11" s="12" t="str">
        <x:v>0 duplicados</x:v>
      </x:c>
      <x:c r="F11" s="13" t="str">
        <x:v>COUNTIF</x:v>
      </x:c>
    </x:row>
    <x:row r="12">
      <x:c r="A12" s="11" t="str">
        <x:v>Integridad</x:v>
      </x:c>
      <x:c r="B12" s="12" t="str">
        <x:v>Campos obligatorios vacíos</x:v>
      </x:c>
      <x:c r="C12" s="12" t="str">
        <x:v>Marcar INCOMPLETO</x:v>
      </x:c>
      <x:c r="D12" s="12" t="str">
        <x:v>Registro</x:v>
      </x:c>
      <x:c r="E12" s="12" t="str">
        <x:v>100% completos</x:v>
      </x:c>
      <x:c r="F12" s="13" t="str">
        <x:v>COUNTA/AND</x:v>
      </x:c>
    </x:row>
    <x:row r="13">
      <x:c r="A13" s="11" t="str">
        <x:v>SLA</x:v>
      </x:c>
      <x:c r="B13" s="12" t="str">
        <x:v>Minutos &lt;= catálogo</x:v>
      </x:c>
      <x:c r="C13" s="12" t="str">
        <x:v>Marcar CUMPLE</x:v>
      </x:c>
      <x:c r="D13" s="12" t="str">
        <x:v>Tiempo</x:v>
      </x:c>
      <x:c r="E13" s="12" t="str">
        <x:v>≥95%</x:v>
      </x:c>
      <x:c r="F13" s="13" t="str">
        <x:v>Búsqueda por fórmula</x:v>
      </x:c>
    </x:row>
    <x:row r="14">
      <x:c r="A14" s="17" t="str">
        <x:v>Calidad</x:v>
      </x:c>
      <x:c r="B14" s="18" t="str">
        <x:v>Documento + integridad + no duplicado</x:v>
      </x:c>
      <x:c r="C14" s="18" t="str">
        <x:v>APROBADO/REVISAR</x:v>
      </x:c>
      <x:c r="D14" s="18" t="str">
        <x:v>Resultado</x:v>
      </x:c>
      <x:c r="E14" s="18" t="str">
        <x:v>≥91%</x:v>
      </x:c>
      <x:c r="F14" s="19" t="str">
        <x:v>Regla compuesta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109" t="str">
        <x:v>GUÍA DEL PORTAFOLIO</x:v>
      </x:c>
      <x:c r="B1" s="109"/>
      <x:c r="C1" s="109"/>
      <x:c r="D1" s="109"/>
      <x:c r="E1" s="109"/>
      <x:c r="F1" s="109"/>
      <x:c r="G1" s="109"/>
      <x:c r="H1" s="109"/>
    </x:row>
    <x:row r="3">
      <x:c r="A3" s="112" t="str">
        <x:v>Objetivo: demostrar captura rápida y ordenada, validación documental, manejo responsable de datos, seguimiento de reglas y control de calidad en un escenario ficticio alineado a una posición de Capturista / Auxiliar Administrativo.</x:v>
      </x:c>
      <x:c r="B3" s="112"/>
      <x:c r="C3" s="112"/>
      <x:c r="D3" s="112"/>
      <x:c r="E3" s="112"/>
      <x:c r="F3" s="112"/>
      <x:c r="G3" s="112"/>
      <x:c r="H3" s="112"/>
    </x:row>
    <x:row r="4">
      <x:c r="A4" s="112"/>
      <x:c r="B4" s="112"/>
      <x:c r="C4" s="112"/>
      <x:c r="D4" s="112"/>
      <x:c r="E4" s="112"/>
      <x:c r="F4" s="112"/>
      <x:c r="G4" s="112"/>
      <x:c r="H4" s="112"/>
    </x:row>
    <x:row r="6">
      <x:c r="A6" s="7" t="str">
        <x:v>Elemento</x:v>
      </x:c>
      <x:c r="B6" s="8" t="str">
        <x:v>Qué demuestra</x:v>
      </x:c>
      <x:c r="C6" s="9"/>
      <x:c r="D6" s="8" t="str">
        <x:v>Prueba sugerida</x:v>
      </x:c>
      <x:c r="E6" s="8" t="str">
        <x:v>Acción</x:v>
      </x:c>
      <x:c r="F6" s="8" t="str">
        <x:v>Resultado esperado</x:v>
      </x:c>
      <x:c r="G6" s="8" t="str">
        <x:v>Nivel</x:v>
      </x:c>
      <x:c r="H6" s="10" t="str">
        <x:v>Transparencia</x:v>
      </x:c>
    </x:row>
    <x:row r="7">
      <x:c r="A7" s="11" t="str">
        <x:v>Tabla de captura</x:v>
      </x:c>
      <x:c r="B7" s="12" t="str">
        <x:v>Estructura, filtros, orden y trazabilidad</x:v>
      </x:c>
      <x:c r="C7" s="12"/>
      <x:c r="D7" s="12" t="str">
        <x:v>Duplicidad</x:v>
      </x:c>
      <x:c r="E7" s="12" t="str">
        <x:v>Copiar un folio existente</x:v>
      </x:c>
      <x:c r="F7" s="12" t="str">
        <x:v>REVISAR</x:v>
      </x:c>
      <x:c r="G7" s="12" t="str">
        <x:v>Intermedio</x:v>
      </x:c>
      <x:c r="H7" s="13" t="str">
        <x:v>Datos ficticios</x:v>
      </x:c>
    </x:row>
    <x:row r="8">
      <x:c r="A8" s="11" t="str">
        <x:v>Validaciones</x:v>
      </x:c>
      <x:c r="B8" s="12" t="str">
        <x:v>Prevención de errores en campos categóricos</x:v>
      </x:c>
      <x:c r="C8" s="12"/>
      <x:c r="D8" s="12" t="str">
        <x:v>Integridad</x:v>
      </x:c>
      <x:c r="E8" s="12" t="str">
        <x:v>Vaciar un campo obligatorio</x:v>
      </x:c>
      <x:c r="F8" s="12" t="str">
        <x:v>INCOMPLETO</x:v>
      </x:c>
      <x:c r="G8" s="12" t="str">
        <x:v>Intermedio</x:v>
      </x:c>
      <x:c r="H8" s="13" t="str">
        <x:v>Fórmula visible</x:v>
      </x:c>
    </x:row>
    <x:row r="9">
      <x:c r="A9" s="11" t="str">
        <x:v>Duplicados</x:v>
      </x:c>
      <x:c r="B9" s="12" t="str">
        <x:v>Detección automática de folios repetidos</x:v>
      </x:c>
      <x:c r="C9" s="12"/>
      <x:c r="D9" s="12" t="str">
        <x:v>SLA</x:v>
      </x:c>
      <x:c r="E9" s="12" t="str">
        <x:v>Aumentar los minutos</x:v>
      </x:c>
      <x:c r="F9" s="12" t="str">
        <x:v>NO</x:v>
      </x:c>
      <x:c r="G9" s="12" t="str">
        <x:v>Intermedio</x:v>
      </x:c>
      <x:c r="H9" s="13" t="str">
        <x:v>Reglas auditables</x:v>
      </x:c>
    </x:row>
    <x:row r="10">
      <x:c r="A10" s="11" t="str">
        <x:v>Control documental</x:v>
      </x:c>
      <x:c r="B10" s="12" t="str">
        <x:v>Revisión de integridad y legibilidad</x:v>
      </x:c>
      <x:c r="C10" s="12"/>
      <x:c r="D10" s="12" t="str">
        <x:v>Documento</x:v>
      </x:c>
      <x:c r="E10" s="12" t="str">
        <x:v>Cambiar a No legible</x:v>
      </x:c>
      <x:c r="F10" s="12" t="str">
        <x:v>REVISAR</x:v>
      </x:c>
      <x:c r="G10" s="12" t="str">
        <x:v>Intermedio</x:v>
      </x:c>
      <x:c r="H10" s="13" t="str">
        <x:v>Lista validada</x:v>
      </x:c>
    </x:row>
    <x:row r="11">
      <x:c r="A11" s="11" t="str">
        <x:v>SLA</x:v>
      </x:c>
      <x:c r="B11" s="12" t="str">
        <x:v>Comparación automática contra reglas visibles</x:v>
      </x:c>
      <x:c r="C11" s="12"/>
      <x:c r="D11" s="12" t="str">
        <x:v>Dashboard</x:v>
      </x:c>
      <x:c r="E11" s="12" t="str">
        <x:v>Modificar cualquier registro</x:v>
      </x:c>
      <x:c r="F11" s="12" t="str">
        <x:v>KPIs actualizados</x:v>
      </x:c>
      <x:c r="G11" s="12" t="str">
        <x:v>Intermedio</x:v>
      </x:c>
      <x:c r="H11" s="13" t="str">
        <x:v>Sin macros ocultas</x:v>
      </x:c>
    </x:row>
    <x:row r="12">
      <x:c r="A12" s="17" t="str">
        <x:v>Dashboard</x:v>
      </x:c>
      <x:c r="B12" s="18" t="str">
        <x:v>Síntesis de volumen, calidad y excepciones</x:v>
      </x:c>
      <x:c r="C12" s="18"/>
      <x:c r="D12" s="18" t="str">
        <x:v>Filtro</x:v>
      </x:c>
      <x:c r="E12" s="18" t="str">
        <x:v>Filtrar Resultado</x:v>
      </x:c>
      <x:c r="F12" s="18" t="str">
        <x:v>Excepciones visibles</x:v>
      </x:c>
      <x:c r="G12" s="18" t="str">
        <x:v>Operativo</x:v>
      </x:c>
      <x:c r="H12" s="19" t="str">
        <x:v>Tabla estructurada</x:v>
      </x:c>
    </x:row>
    <x:row r="14">
      <x:c r="A14" s="132" t="str">
        <x:v>Declaración: este archivo fue creado como proyecto de portafolio. Todos los nombres, cuentas, folios, importes y trámites son ficticios. No contiene información personal ni bancaria real y no se presenta como experiencia laboral previa.</x:v>
      </x:c>
      <x:c r="B14" s="133"/>
      <x:c r="C14" s="133"/>
      <x:c r="D14" s="133"/>
      <x:c r="E14" s="133"/>
      <x:c r="F14" s="133"/>
      <x:c r="G14" s="133"/>
      <x:c r="H14" s="134"/>
    </x:row>
    <x:row r="15">
      <x:c r="A15" s="135"/>
      <x:c r="B15" s="136"/>
      <x:c r="C15" s="136"/>
      <x:c r="D15" s="136"/>
      <x:c r="E15" s="136"/>
      <x:c r="F15" s="136"/>
      <x:c r="G15" s="136"/>
      <x:c r="H15" s="137"/>
    </x:row>
    <x:row r="16">
      <x:c r="A16" s="135"/>
      <x:c r="B16" s="136"/>
      <x:c r="C16" s="136"/>
      <x:c r="D16" s="136"/>
      <x:c r="E16" s="136"/>
      <x:c r="F16" s="136"/>
      <x:c r="G16" s="136"/>
      <x:c r="H16" s="137"/>
    </x:row>
    <x:row r="17">
      <x:c r="A17" s="138"/>
      <x:c r="B17" s="139"/>
      <x:c r="C17" s="139"/>
      <x:c r="D17" s="139"/>
      <x:c r="E17" s="139"/>
      <x:c r="F17" s="139"/>
      <x:c r="G17" s="139"/>
      <x:c r="H17" s="140"/>
    </x:row>
  </x:sheetData>
  <x:mergeCells>
    <x:mergeCell ref="A1:H1"/>
    <x:mergeCell ref="A3:H4"/>
    <x:mergeCell ref="A14:H17"/>
  </x:mergeCells>
  <x:pageMargins left="0.7" right="0.7" top="0.75" bottom="0.75" header="0.3" footer="0.3"/>
</x:worksheet>
</file>